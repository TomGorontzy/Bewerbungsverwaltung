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d.docs.live.net/746d0da4b5755b4d/Desktop/"/>
    </mc:Choice>
  </mc:AlternateContent>
  <xr:revisionPtr revIDLastSave="386" documentId="8_{979D0141-8773-4CFB-A3FE-73A6EC8A19FC}" xr6:coauthVersionLast="47" xr6:coauthVersionMax="47" xr10:uidLastSave="{1FE94D92-B3BD-49B8-AF15-5080C6CD8C21}"/>
  <bookViews>
    <workbookView xWindow="-120" yWindow="-120" windowWidth="29040" windowHeight="15720" activeTab="1" xr2:uid="{00000000-000D-0000-FFFF-FFFF00000000}"/>
  </bookViews>
  <sheets>
    <sheet name="Erläuterungen" sheetId="5" r:id="rId1"/>
    <sheet name="Bewerbungsübersicht" sheetId="1" r:id="rId2"/>
    <sheet name="Heute erledigen" sheetId="2" r:id="rId3"/>
    <sheet name="Diese Woche erledigen" sheetId="3" r:id="rId4"/>
    <sheet name="Hilfstabellen" sheetId="4" r:id="rId5"/>
  </sheets>
  <definedNames>
    <definedName name="_xlnm._FilterDatabase" localSheetId="1" hidden="1">Bewerbungsübersicht!$A$1:$V$20</definedName>
    <definedName name="_xlnm._FilterDatabase" localSheetId="3" hidden="1">'Diese Woche erledigen'!$A$1:$V$127</definedName>
    <definedName name="_xlnm._FilterDatabase" localSheetId="0" hidden="1">Erläuterungen!$A$1:$V$5</definedName>
    <definedName name="_xlnm._FilterDatabase" localSheetId="2" hidden="1">'Heute erledigen'!$A$1:$V$45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5" l="1"/>
  <c r="R3" i="5"/>
  <c r="R4" i="5"/>
  <c r="R5" i="5"/>
  <c r="R2" i="1"/>
  <c r="R3" i="1"/>
  <c r="R4" i="1"/>
  <c r="R5" i="1"/>
  <c r="V5" i="1" s="1"/>
  <c r="R6" i="1"/>
  <c r="V6" i="1" s="1"/>
  <c r="R7" i="1"/>
  <c r="V7" i="1" s="1"/>
  <c r="R8" i="1"/>
  <c r="R9" i="1"/>
  <c r="R10" i="1"/>
  <c r="V10" i="1" s="1"/>
  <c r="R11" i="1"/>
  <c r="V11" i="1" s="1"/>
  <c r="R12" i="1"/>
  <c r="R13" i="1"/>
  <c r="R14" i="1"/>
  <c r="V14" i="1" s="1"/>
  <c r="R15" i="1"/>
  <c r="V15" i="1" s="1"/>
  <c r="R16" i="1"/>
  <c r="R17" i="1"/>
  <c r="R18" i="1"/>
  <c r="R19" i="1"/>
  <c r="R20" i="1"/>
  <c r="V20" i="1" s="1"/>
  <c r="V9" i="1"/>
  <c r="V16" i="1"/>
  <c r="V17" i="1"/>
  <c r="A2" i="5"/>
  <c r="A3" i="5"/>
  <c r="A4" i="5"/>
  <c r="A5" i="5"/>
  <c r="A7" i="1"/>
  <c r="A8" i="1"/>
  <c r="V8" i="1"/>
  <c r="A9" i="1"/>
  <c r="A10" i="1"/>
  <c r="A11" i="1"/>
  <c r="A12" i="1"/>
  <c r="V12" i="1"/>
  <c r="A13" i="1"/>
  <c r="V13" i="1"/>
  <c r="A14" i="1"/>
  <c r="A15" i="1"/>
  <c r="A16" i="1"/>
  <c r="A17" i="1"/>
  <c r="A18" i="1"/>
  <c r="V18" i="1"/>
  <c r="A19" i="1"/>
  <c r="V19" i="1"/>
  <c r="A20" i="1"/>
  <c r="V2" i="1"/>
  <c r="V4" i="1"/>
  <c r="V3" i="1"/>
  <c r="A2" i="1"/>
  <c r="A3" i="1"/>
  <c r="A4" i="1"/>
  <c r="A5" i="1"/>
  <c r="A6" i="1"/>
  <c r="A2" i="3" l="1" a="1"/>
  <c r="A2" i="3" s="1"/>
  <c r="A2" i="2" a="1"/>
  <c r="A2" i="2" s="1"/>
  <c r="V5" i="5"/>
  <c r="V4" i="5"/>
  <c r="V3" i="5"/>
  <c r="V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<sst xmlns="http://schemas.openxmlformats.org/spreadsheetml/2006/main" count="267" uniqueCount="137">
  <si>
    <t>Bewerbungs-ID</t>
  </si>
  <si>
    <t>Ort</t>
  </si>
  <si>
    <t>Referenznummer</t>
  </si>
  <si>
    <t>Ansprechpartner</t>
  </si>
  <si>
    <t>Kontakt (E-Mail/Telefon)</t>
  </si>
  <si>
    <t>Quelle</t>
  </si>
  <si>
    <t>Art der Bewerbung</t>
  </si>
  <si>
    <t>Versendete Unterlagen</t>
  </si>
  <si>
    <t>Aktueller Status</t>
  </si>
  <si>
    <t>Status-Datum</t>
  </si>
  <si>
    <t>Letzte Kontaktaufnahme</t>
  </si>
  <si>
    <t>Art der Kontaktaufnahme</t>
  </si>
  <si>
    <t>Ergebnis der Nachfrage</t>
  </si>
  <si>
    <t>Nächster Schritt</t>
  </si>
  <si>
    <t>Erinnerungsdatum</t>
  </si>
  <si>
    <t>Priorität</t>
  </si>
  <si>
    <t>Endergebnis</t>
  </si>
  <si>
    <t>Notizen</t>
  </si>
  <si>
    <t>Heute erledigen?</t>
  </si>
  <si>
    <t>Oldenburg</t>
  </si>
  <si>
    <t>Kaufmännischer Mitarbeiter</t>
  </si>
  <si>
    <t>REF-001</t>
  </si>
  <si>
    <t>Frau Meyer</t>
  </si>
  <si>
    <t>meyer@musterfirma.de</t>
  </si>
  <si>
    <t>Unternehmenswebsite</t>
  </si>
  <si>
    <t>E-Mail</t>
  </si>
  <si>
    <t>Lebenslauf, Anschreiben</t>
  </si>
  <si>
    <t>Eingangsbestätigung</t>
  </si>
  <si>
    <t>Noch keine Rückmeldung</t>
  </si>
  <si>
    <t>Telefonisch nachfassen</t>
  </si>
  <si>
    <t>Hoch</t>
  </si>
  <si>
    <t>Bremen</t>
  </si>
  <si>
    <t>Sachbearbeiter</t>
  </si>
  <si>
    <t>Herr Schulz</t>
  </si>
  <si>
    <t>StepStone</t>
  </si>
  <si>
    <t>Online-Portal</t>
  </si>
  <si>
    <t>Vollständige Unterlagen</t>
  </si>
  <si>
    <t>Gespräch eingeladen</t>
  </si>
  <si>
    <t>Gespräch vorbereiten</t>
  </si>
  <si>
    <t>Normal</t>
  </si>
  <si>
    <t>Delmenhorst</t>
  </si>
  <si>
    <t>Bürohilfe</t>
  </si>
  <si>
    <t>Initiativbewerbung</t>
  </si>
  <si>
    <t>Lebenslauf</t>
  </si>
  <si>
    <t>Absage</t>
  </si>
  <si>
    <t>Niedrig</t>
  </si>
  <si>
    <t>Zusage</t>
  </si>
  <si>
    <t>Post</t>
  </si>
  <si>
    <t>Vermittler</t>
  </si>
  <si>
    <t>initiativ</t>
  </si>
  <si>
    <t>Rückmeldung ausstehend</t>
  </si>
  <si>
    <t>Bewerbung versendet</t>
  </si>
  <si>
    <t>Telefon</t>
  </si>
  <si>
    <t>Persönlich</t>
  </si>
  <si>
    <t>Nachfassen nötig</t>
  </si>
  <si>
    <t>Einladung erhalten</t>
  </si>
  <si>
    <t>Absage dokumentiert</t>
  </si>
  <si>
    <t>Erinnerungsdatum
(Automatik)</t>
  </si>
  <si>
    <t>Bewerbungs-ID
(Automatik)</t>
  </si>
  <si>
    <t>Arbeitsproben</t>
  </si>
  <si>
    <t>Zeugnisse</t>
  </si>
  <si>
    <t>Initiativ</t>
  </si>
  <si>
    <t>Persönlich abgegeben</t>
  </si>
  <si>
    <t>Gespräch absolviert</t>
  </si>
  <si>
    <t>LinkedIn/Xing</t>
  </si>
  <si>
    <t>Zusage angenommen</t>
  </si>
  <si>
    <t>Zusage abgelehnt</t>
  </si>
  <si>
    <t>Absage erhalten</t>
  </si>
  <si>
    <t>Zurückgezogen</t>
  </si>
  <si>
    <t>Indeed</t>
  </si>
  <si>
    <t>LinkedIn</t>
  </si>
  <si>
    <t>Xing</t>
  </si>
  <si>
    <t>Arbeitsagentur</t>
  </si>
  <si>
    <t>Empfehlung</t>
  </si>
  <si>
    <t>Zeitung</t>
  </si>
  <si>
    <t>TechSolutions GmbH</t>
  </si>
  <si>
    <t>Hamburg</t>
  </si>
  <si>
    <t>IT-Administrator</t>
  </si>
  <si>
    <t>TS-2026-0542</t>
  </si>
  <si>
    <t>Frau Dr. Schmidt</t>
  </si>
  <si>
    <t>hr@techsolutions.de</t>
  </si>
  <si>
    <t>Termin vereinbart</t>
  </si>
  <si>
    <t>Vorstellungsgespräch am 18.06.2026 um 10:00 Uhr</t>
  </si>
  <si>
    <t>MedienWerk AG</t>
  </si>
  <si>
    <t>Berlin</t>
  </si>
  <si>
    <t>Marketing Manager</t>
  </si>
  <si>
    <t>MW-1234</t>
  </si>
  <si>
    <t>Herr Müller</t>
  </si>
  <si>
    <t>bewerbung@medienwerk.de</t>
  </si>
  <si>
    <t>Eingangsbestätigung abwarten</t>
  </si>
  <si>
    <t>Sehr interessante Position mit Homeoffice-Option</t>
  </si>
  <si>
    <t>Stadtwerke Oldenburg</t>
  </si>
  <si>
    <t>Sachbearbeiter Kundenservice</t>
  </si>
  <si>
    <t>Personalabteilung</t>
  </si>
  <si>
    <t>personal@stadtwerke-ol.de</t>
  </si>
  <si>
    <t>Noch keine Entscheidung</t>
  </si>
  <si>
    <t>Nochmals nachfragen</t>
  </si>
  <si>
    <t>Anruf war freundlich, Stelle evtl. erst später frei</t>
  </si>
  <si>
    <t>GlobalFinanz Bank</t>
  </si>
  <si>
    <t>Frankfurt</t>
  </si>
  <si>
    <t>Kreditsachbearbeiter</t>
  </si>
  <si>
    <t>GF-2026-089</t>
  </si>
  <si>
    <t>Frau Weber</t>
  </si>
  <si>
    <t>Absage per E-Mail am 01.06.2026 - andere Bewerber bevorzugt</t>
  </si>
  <si>
    <t>Autohaus Schmidt</t>
  </si>
  <si>
    <t>Verkaufsberater</t>
  </si>
  <si>
    <t>AS-V-2026</t>
  </si>
  <si>
    <t>Herr Schmidt</t>
  </si>
  <si>
    <t>0421-123456</t>
  </si>
  <si>
    <t>Zusage!</t>
  </si>
  <si>
    <t>Vertrag unterschreiben</t>
  </si>
  <si>
    <t>Start am 01.08.2026, Gehalt wie besprochen</t>
  </si>
  <si>
    <t>📋 ANLEITUNG ZUR BEWERBUNGSVERWALTUNG</t>
  </si>
  <si>
    <t>🔷 ALLGEMEINE HINWEISE</t>
  </si>
  <si>
    <t>• Neue Bewerbungen im Blatt 'Bewerbungsübersicht' eintragen
• Die Bewerbungs-ID wird automatisch generiert
• Das Erinnerungsdatum berechnet sich automatisch
• Dropdown-Menüs für einheitliche Eingaben nutzen
• Regelmäßig den Status aktualisieren
• Blatt 'Heute erledigen' für tägliche Aufgaben prüfen</t>
  </si>
  <si>
    <t>🔶 STATUSWERTE ERKLÄRT</t>
  </si>
  <si>
    <t>• Bewerbung versendet → Warten auf Reaktion
• Eingangsbestätigung → Bewerbung angekommen
• Gespräch eingeladen → Termin vereinbaren!
• Gespräch absolviert → Auf Entscheidung warten
• Rückmeldung ausstehend → Nachfassen planen
• Zusage/Absage → Endergebnis eintragen</t>
  </si>
  <si>
    <t>🔴 PRIORITÄTEN RICHTIG SETZEN</t>
  </si>
  <si>
    <t>🔴 HOCH:
   Traumjob, laufendes Verfahren, Frist
🟡 NORMAL:
   Interessante Stellen, Standardbewerbungen
🟢 NIEDRIG:
   Backup-Optionen, Initiativbewerbungen</t>
  </si>
  <si>
    <t>💡 TIPPS ZUM ERFOLGREICHEN NACHFASSEN</t>
  </si>
  <si>
    <t>✓ Nach 2 Wochen ohne Rückmeldung freundlich nachfragen
✓ Telefonisch nachfassen ist oft effektiver als E-Mail
✓ Immer die Referenznummer bereithalten
✓ Kurz und höflich bleiben - keine Rechtfertigungen
✓ Ergebnis der Nachfrage sofort dokumentieren</t>
  </si>
  <si>
    <t>📑 ÜBERSICHT DER ARBEITSBLÄTTER</t>
  </si>
  <si>
    <t>📊 Bewerbungsübersicht → Alle Bewerbungen verwalten
📅 Heute erledigen → Aktuelle Aufgaben (Filter: ja)
📆 Diese Woche erledigen → Wochenplanung
📋 Erläuterungen → Diese Anleitung (Sie sind hier!)
⚙️ Hilfstabellen → Dropdown-Listen &amp; Vorlagen</t>
  </si>
  <si>
    <t>⚠️ WICHTIG: Daten regelmäßig sichern! Vor größeren Änderungen eine Kopie der Datei erstellen.</t>
  </si>
  <si>
    <t>📝 SPALTEN-ERKLÄRUNG (WICHTIGSTE FELDER)</t>
  </si>
  <si>
    <t>📌 Bewerbungs-ID: Automatisch generierte eindeutige Nummer (BEW-JJJJ-NNN)
🏢 Unternehmen: Name des Unternehmens, bei dem Sie sich bewerben
📍 Ort: Standort der Stelle
💼 Position: Bezeichnung der ausgeschriebenen Stelle
📅 Datum der Bewerbung: Wann wurde die Bewerbung abgeschickt?
📊 Aktueller Status: Wo steht die Bewerbung gerade? (Dropdown nutzen!)
⏰ Erinnerungsdatum: Automatisch berechnet - wann nachfassen?</t>
  </si>
  <si>
    <t>🚀 SCHNELLSTART-CHECKLISTE</t>
  </si>
  <si>
    <t>☐ 1. Beispieldaten in 'Bewerbungsübersicht' löschen
☐ 2. Erste eigene Bewerbung eintragen
☐ 3. Priorität und Status festlegen
☐ 4. Täglich 'Heute erledigen' prüfen
☐ 5. Nach Gesprächen sofort Status aktualisieren</t>
  </si>
  <si>
    <t>⌨️ NÜTZLICHE EXCEL-TIPPS</t>
  </si>
  <si>
    <t>• Strg+Pos1: Zum Tabellenanfang springen
• Strg+Ende: Zum letzten Eintrag springen
• Alt+↓: Dropdown-Liste öffnen
• Strg+S: Speichern nicht vergessen!
• Filter nutzen: Nur bestimmte Status anzeigen</t>
  </si>
  <si>
    <t xml:space="preserve"> </t>
  </si>
  <si>
    <t>Unternehmen *</t>
  </si>
  <si>
    <t>Position *</t>
  </si>
  <si>
    <t>Datum der Bewerbung *</t>
  </si>
  <si>
    <t>Aktueller Status *</t>
  </si>
  <si>
    <t>Status-Datum *</t>
  </si>
  <si>
    <t>INN-tegrativ gGmbH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</si>
</sst>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 Narrow"/>
      <family val="2"/>
    </font>
    <font>
      <b/>
      <sz val="28"/>
      <color rgb="FFC00000"/>
      <name val="Aptos Narrow"/>
      <family val="2"/>
    </font>
    <font>
      <b/>
      <sz val="11"/>
      <color rgb="FFFFFFFF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C659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C65911"/>
      <name val="Calibri"/>
      <family val="2"/>
      <scheme val="minor"/>
    </font>
    <font>
      <sz val="11"/>
      <color rgb="FF2E75B6"/>
      <name val="Calibri"/>
      <family val="2"/>
      <scheme val="minor"/>
    </font>
    <font>
      <sz val="11"/>
      <color rgb="FFBF8F00"/>
      <name val="Calibri"/>
      <family val="2"/>
      <scheme val="minor"/>
    </font>
    <font>
      <b/>
      <sz val="11"/>
      <color rgb="FF538135"/>
      <name val="Calibri"/>
      <family val="2"/>
      <scheme val="minor"/>
    </font>
    <font>
      <sz val="11"/>
      <color rgb="FF44546A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5F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theme="0" tint="-4.9989318521683403E-2"/>
        <bgColor indexed="64"/>
      </patternFill>
    </fill>
  </fills>
  <borders count="71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6" tint="-0.499984740745262"/>
      </left>
      <right/>
      <top style="thin">
        <color auto="1"/>
      </top>
      <bottom/>
      <diagonal/>
    </border>
    <border>
      <left/>
      <right style="medium">
        <color theme="6" tint="-0.499984740745262"/>
      </right>
      <top style="thin">
        <color auto="1"/>
      </top>
      <bottom/>
      <diagonal/>
    </border>
    <border>
      <left style="medium">
        <color theme="6" tint="-0.499984740745262"/>
      </left>
      <right/>
      <top/>
      <bottom/>
      <diagonal/>
    </border>
    <border>
      <left/>
      <right style="medium">
        <color theme="6" tint="-0.499984740745262"/>
      </right>
      <top/>
      <bottom/>
      <diagonal/>
    </border>
    <border>
      <left style="medium">
        <color theme="6" tint="-0.499984740745262"/>
      </left>
      <right/>
      <top/>
      <bottom style="medium">
        <color theme="6" tint="-0.499984740745262"/>
      </bottom>
      <diagonal/>
    </border>
    <border>
      <left/>
      <right/>
      <top/>
      <bottom style="medium">
        <color theme="6" tint="-0.499984740745262"/>
      </bottom>
      <diagonal/>
    </border>
    <border>
      <left/>
      <right style="medium">
        <color theme="6" tint="-0.499984740745262"/>
      </right>
      <top/>
      <bottom style="medium">
        <color theme="6" tint="-0.499984740745262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 style="thin">
        <color auto="1"/>
      </top>
      <bottom/>
      <diagonal/>
    </border>
    <border>
      <left/>
      <right style="medium">
        <color theme="4"/>
      </right>
      <top style="thin">
        <color auto="1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medium">
        <color theme="3" tint="-0.249977111117893"/>
      </left>
      <right/>
      <top style="medium">
        <color theme="3" tint="-0.249977111117893"/>
      </top>
      <bottom/>
      <diagonal/>
    </border>
    <border>
      <left/>
      <right/>
      <top style="medium">
        <color theme="3" tint="-0.249977111117893"/>
      </top>
      <bottom/>
      <diagonal/>
    </border>
    <border>
      <left/>
      <right style="medium">
        <color theme="3" tint="-0.249977111117893"/>
      </right>
      <top style="medium">
        <color theme="3" tint="-0.249977111117893"/>
      </top>
      <bottom/>
      <diagonal/>
    </border>
    <border>
      <left style="medium">
        <color theme="3" tint="-0.249977111117893"/>
      </left>
      <right/>
      <top/>
      <bottom/>
      <diagonal/>
    </border>
    <border>
      <left/>
      <right style="medium">
        <color theme="3" tint="-0.249977111117893"/>
      </right>
      <top/>
      <bottom/>
      <diagonal/>
    </border>
    <border>
      <left style="medium">
        <color theme="3" tint="-0.249977111117893"/>
      </left>
      <right/>
      <top/>
      <bottom style="medium">
        <color theme="3" tint="-0.249977111117893"/>
      </bottom>
      <diagonal/>
    </border>
    <border>
      <left/>
      <right/>
      <top/>
      <bottom style="medium">
        <color theme="3" tint="-0.249977111117893"/>
      </bottom>
      <diagonal/>
    </border>
    <border>
      <left/>
      <right style="medium">
        <color theme="3" tint="-0.249977111117893"/>
      </right>
      <top/>
      <bottom style="medium">
        <color theme="3" tint="-0.249977111117893"/>
      </bottom>
      <diagonal/>
    </border>
    <border>
      <left style="medium">
        <color rgb="FF7030A0"/>
      </left>
      <right/>
      <top/>
      <bottom/>
      <diagonal/>
    </border>
    <border>
      <left/>
      <right style="medium">
        <color rgb="FF7030A0"/>
      </right>
      <top/>
      <bottom/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 style="medium">
        <color rgb="FFFFC000"/>
      </left>
      <right/>
      <top/>
      <bottom/>
      <diagonal/>
    </border>
    <border>
      <left/>
      <right style="medium">
        <color rgb="FFFFC000"/>
      </right>
      <top/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medium">
        <color theme="6" tint="-0.499984740745262"/>
      </left>
      <right/>
      <top style="medium">
        <color theme="6" tint="-0.499984740745262"/>
      </top>
      <bottom style="medium">
        <color theme="6" tint="-0.499984740745262"/>
      </bottom>
      <diagonal/>
    </border>
    <border>
      <left/>
      <right/>
      <top style="medium">
        <color theme="6" tint="-0.499984740745262"/>
      </top>
      <bottom style="medium">
        <color theme="6" tint="-0.499984740745262"/>
      </bottom>
      <diagonal/>
    </border>
    <border>
      <left/>
      <right style="medium">
        <color theme="6" tint="-0.499984740745262"/>
      </right>
      <top style="medium">
        <color theme="6" tint="-0.499984740745262"/>
      </top>
      <bottom style="medium">
        <color theme="6" tint="-0.499984740745262"/>
      </bottom>
      <diagonal/>
    </border>
    <border>
      <left style="medium">
        <color rgb="FF7030A0"/>
      </left>
      <right/>
      <top style="medium">
        <color rgb="FF7030A0"/>
      </top>
      <bottom style="medium">
        <color rgb="FF7030A0"/>
      </bottom>
      <diagonal/>
    </border>
    <border>
      <left/>
      <right/>
      <top style="medium">
        <color rgb="FF7030A0"/>
      </top>
      <bottom style="medium">
        <color rgb="FF7030A0"/>
      </bottom>
      <diagonal/>
    </border>
    <border>
      <left/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 style="medium">
        <color theme="9" tint="-0.249977111117893"/>
      </bottom>
      <diagonal/>
    </border>
    <border>
      <left/>
      <right/>
      <top style="medium">
        <color theme="9" tint="-0.249977111117893"/>
      </top>
      <bottom style="medium">
        <color theme="9" tint="-0.249977111117893"/>
      </bottom>
      <diagonal/>
    </border>
    <border>
      <left/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/>
      <diagonal/>
    </border>
    <border>
      <left/>
      <right/>
      <top style="medium">
        <color theme="9" tint="-0.249977111117893"/>
      </top>
      <bottom/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/>
      <top/>
      <bottom/>
      <diagonal/>
    </border>
    <border>
      <left/>
      <right style="medium">
        <color theme="9" tint="-0.249977111117893"/>
      </right>
      <top/>
      <bottom/>
      <diagonal/>
    </border>
    <border>
      <left style="medium">
        <color theme="9" tint="-0.249977111117893"/>
      </left>
      <right/>
      <top/>
      <bottom style="medium">
        <color theme="9" tint="-0.249977111117893"/>
      </bottom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/>
      <bottom style="medium">
        <color theme="9" tint="-0.249977111117893"/>
      </bottom>
      <diagonal/>
    </border>
    <border>
      <left style="medium">
        <color theme="3" tint="-0.249977111117893"/>
      </left>
      <right/>
      <top style="medium">
        <color theme="3" tint="-0.249977111117893"/>
      </top>
      <bottom style="medium">
        <color theme="3" tint="-0.249977111117893"/>
      </bottom>
      <diagonal/>
    </border>
    <border>
      <left/>
      <right/>
      <top style="medium">
        <color theme="3" tint="-0.249977111117893"/>
      </top>
      <bottom style="medium">
        <color theme="3" tint="-0.249977111117893"/>
      </bottom>
      <diagonal/>
    </border>
    <border>
      <left/>
      <right style="medium">
        <color theme="3" tint="-0.249977111117893"/>
      </right>
      <top style="medium">
        <color theme="3" tint="-0.249977111117893"/>
      </top>
      <bottom style="medium">
        <color theme="3" tint="-0.249977111117893"/>
      </bottom>
      <diagonal/>
    </border>
    <border>
      <left style="medium">
        <color theme="6" tint="-0.499984740745262"/>
      </left>
      <right/>
      <top style="medium">
        <color theme="6" tint="-0.499984740745262"/>
      </top>
      <bottom style="thin">
        <color auto="1"/>
      </bottom>
      <diagonal/>
    </border>
    <border>
      <left/>
      <right/>
      <top style="medium">
        <color theme="6" tint="-0.499984740745262"/>
      </top>
      <bottom style="thin">
        <color auto="1"/>
      </bottom>
      <diagonal/>
    </border>
    <border>
      <left/>
      <right style="medium">
        <color theme="6" tint="-0.499984740745262"/>
      </right>
      <top style="medium">
        <color theme="6" tint="-0.499984740745262"/>
      </top>
      <bottom style="thin">
        <color auto="1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wrapText="1"/>
    </xf>
    <xf numFmtId="0" fontId="0" fillId="7" borderId="0" xfId="0" applyFill="1" applyBorder="1" applyAlignment="1">
      <alignment vertical="top" wrapText="1"/>
    </xf>
    <xf numFmtId="0" fontId="0" fillId="9" borderId="0" xfId="0" applyFill="1" applyBorder="1" applyAlignment="1">
      <alignment vertical="top" wrapText="1"/>
    </xf>
    <xf numFmtId="0" fontId="0" fillId="11" borderId="0" xfId="0" applyFill="1" applyBorder="1" applyAlignment="1">
      <alignment vertical="top" wrapText="1"/>
    </xf>
    <xf numFmtId="0" fontId="0" fillId="11" borderId="3" xfId="0" applyFill="1" applyBorder="1" applyAlignment="1">
      <alignment vertical="top" wrapText="1"/>
    </xf>
    <xf numFmtId="0" fontId="0" fillId="15" borderId="0" xfId="0" applyFill="1" applyBorder="1" applyAlignment="1">
      <alignment vertical="top" wrapText="1"/>
    </xf>
    <xf numFmtId="0" fontId="0" fillId="17" borderId="0" xfId="0" applyFill="1" applyBorder="1" applyAlignment="1">
      <alignment vertical="top" wrapText="1"/>
    </xf>
    <xf numFmtId="0" fontId="0" fillId="17" borderId="2" xfId="0" applyFill="1" applyBorder="1" applyAlignment="1">
      <alignment vertical="top" wrapText="1"/>
    </xf>
    <xf numFmtId="0" fontId="0" fillId="17" borderId="3" xfId="0" applyFill="1" applyBorder="1" applyAlignment="1">
      <alignment vertical="top" wrapText="1"/>
    </xf>
    <xf numFmtId="0" fontId="0" fillId="17" borderId="4" xfId="0" applyFill="1" applyBorder="1" applyAlignment="1">
      <alignment vertical="top" wrapText="1"/>
    </xf>
    <xf numFmtId="0" fontId="0" fillId="17" borderId="5" xfId="0" applyFill="1" applyBorder="1" applyAlignment="1">
      <alignment vertical="top" wrapText="1"/>
    </xf>
    <xf numFmtId="0" fontId="0" fillId="17" borderId="6" xfId="0" applyFill="1" applyBorder="1" applyAlignment="1">
      <alignment vertical="top" wrapText="1"/>
    </xf>
    <xf numFmtId="0" fontId="0" fillId="17" borderId="7" xfId="0" applyFill="1" applyBorder="1" applyAlignment="1">
      <alignment vertical="top" wrapText="1"/>
    </xf>
    <xf numFmtId="0" fontId="0" fillId="17" borderId="8" xfId="0" applyFill="1" applyBorder="1" applyAlignment="1">
      <alignment vertical="top" wrapText="1"/>
    </xf>
    <xf numFmtId="0" fontId="0" fillId="17" borderId="9" xfId="0" applyFill="1" applyBorder="1" applyAlignment="1">
      <alignment vertical="top" wrapText="1"/>
    </xf>
    <xf numFmtId="0" fontId="0" fillId="0" borderId="0" xfId="0" applyAlignment="1">
      <alignment wrapText="1"/>
    </xf>
    <xf numFmtId="0" fontId="9" fillId="9" borderId="0" xfId="0" applyFont="1" applyFill="1"/>
    <xf numFmtId="0" fontId="10" fillId="12" borderId="0" xfId="0" applyFont="1" applyFill="1"/>
    <xf numFmtId="0" fontId="11" fillId="5" borderId="0" xfId="0" applyFont="1" applyFill="1"/>
    <xf numFmtId="0" fontId="12" fillId="3" borderId="0" xfId="0" applyFont="1" applyFill="1"/>
    <xf numFmtId="0" fontId="13" fillId="15" borderId="0" xfId="0" applyFont="1" applyFill="1"/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14" fillId="7" borderId="0" xfId="0" applyFont="1" applyFill="1"/>
    <xf numFmtId="0" fontId="5" fillId="2" borderId="0" xfId="0" applyFont="1" applyFill="1"/>
    <xf numFmtId="0" fontId="8" fillId="5" borderId="0" xfId="0" applyFont="1" applyFill="1"/>
    <xf numFmtId="0" fontId="15" fillId="17" borderId="0" xfId="0" applyFont="1" applyFill="1"/>
    <xf numFmtId="0" fontId="7" fillId="16" borderId="0" xfId="0" applyFont="1" applyFill="1" applyAlignment="1">
      <alignment horizontal="center" vertical="center"/>
    </xf>
    <xf numFmtId="0" fontId="0" fillId="7" borderId="3" xfId="0" applyFill="1" applyBorder="1" applyAlignment="1">
      <alignment horizontal="left" vertical="top" wrapText="1"/>
    </xf>
    <xf numFmtId="0" fontId="0" fillId="7" borderId="0" xfId="0" applyFill="1" applyBorder="1" applyAlignment="1">
      <alignment horizontal="left" vertical="top" wrapText="1"/>
    </xf>
    <xf numFmtId="0" fontId="0" fillId="7" borderId="10" xfId="0" applyFill="1" applyBorder="1" applyAlignment="1">
      <alignment horizontal="left" vertical="top" wrapText="1"/>
    </xf>
    <xf numFmtId="0" fontId="0" fillId="7" borderId="11" xfId="0" applyFill="1" applyBorder="1" applyAlignment="1">
      <alignment horizontal="left" vertical="top" wrapText="1"/>
    </xf>
    <xf numFmtId="0" fontId="0" fillId="7" borderId="12" xfId="0" applyFill="1" applyBorder="1" applyAlignment="1">
      <alignment horizontal="left" vertical="top" wrapText="1"/>
    </xf>
    <xf numFmtId="0" fontId="0" fillId="7" borderId="13" xfId="0" applyFill="1" applyBorder="1" applyAlignment="1">
      <alignment horizontal="left" vertical="top" wrapText="1"/>
    </xf>
    <xf numFmtId="0" fontId="0" fillId="7" borderId="14" xfId="0" applyFill="1" applyBorder="1" applyAlignment="1">
      <alignment horizontal="left" vertical="top" wrapText="1"/>
    </xf>
    <xf numFmtId="0" fontId="0" fillId="7" borderId="15" xfId="0" applyFill="1" applyBorder="1" applyAlignment="1">
      <alignment horizontal="left" vertical="top" wrapText="1"/>
    </xf>
    <xf numFmtId="0" fontId="0" fillId="7" borderId="16" xfId="0" applyFill="1" applyBorder="1" applyAlignment="1">
      <alignment horizontal="left" vertical="top" wrapText="1"/>
    </xf>
    <xf numFmtId="0" fontId="7" fillId="10" borderId="17" xfId="0" applyFont="1" applyFill="1" applyBorder="1" applyAlignment="1">
      <alignment horizontal="center" vertical="center"/>
    </xf>
    <xf numFmtId="0" fontId="7" fillId="10" borderId="18" xfId="0" applyFont="1" applyFill="1" applyBorder="1" applyAlignment="1">
      <alignment horizontal="center" vertical="center"/>
    </xf>
    <xf numFmtId="0" fontId="7" fillId="10" borderId="19" xfId="0" applyFont="1" applyFill="1" applyBorder="1" applyAlignment="1">
      <alignment horizontal="center" vertical="center"/>
    </xf>
    <xf numFmtId="0" fontId="0" fillId="11" borderId="20" xfId="0" applyFill="1" applyBorder="1" applyAlignment="1">
      <alignment vertical="top" wrapText="1"/>
    </xf>
    <xf numFmtId="0" fontId="0" fillId="11" borderId="21" xfId="0" applyFill="1" applyBorder="1" applyAlignment="1">
      <alignment vertical="top" wrapText="1"/>
    </xf>
    <xf numFmtId="0" fontId="0" fillId="11" borderId="22" xfId="0" applyFill="1" applyBorder="1" applyAlignment="1">
      <alignment vertical="top" wrapText="1"/>
    </xf>
    <xf numFmtId="0" fontId="0" fillId="11" borderId="23" xfId="0" applyFill="1" applyBorder="1" applyAlignment="1">
      <alignment vertical="top" wrapText="1"/>
    </xf>
    <xf numFmtId="0" fontId="0" fillId="11" borderId="24" xfId="0" applyFill="1" applyBorder="1" applyAlignment="1">
      <alignment vertical="top" wrapText="1"/>
    </xf>
    <xf numFmtId="0" fontId="0" fillId="11" borderId="25" xfId="0" applyFill="1" applyBorder="1" applyAlignment="1">
      <alignment vertical="top" wrapText="1"/>
    </xf>
    <xf numFmtId="0" fontId="0" fillId="11" borderId="26" xfId="0" applyFill="1" applyBorder="1" applyAlignment="1">
      <alignment vertical="top" wrapText="1"/>
    </xf>
    <xf numFmtId="0" fontId="0" fillId="5" borderId="0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  <xf numFmtId="0" fontId="0" fillId="3" borderId="30" xfId="0" applyFill="1" applyBorder="1" applyAlignment="1">
      <alignment horizontal="left" vertical="top" wrapText="1"/>
    </xf>
    <xf numFmtId="0" fontId="0" fillId="3" borderId="31" xfId="0" applyFill="1" applyBorder="1" applyAlignment="1">
      <alignment horizontal="left" vertical="top" wrapText="1"/>
    </xf>
    <xf numFmtId="0" fontId="0" fillId="3" borderId="32" xfId="0" applyFill="1" applyBorder="1" applyAlignment="1">
      <alignment horizontal="left" vertical="top" wrapText="1"/>
    </xf>
    <xf numFmtId="0" fontId="0" fillId="3" borderId="33" xfId="0" applyFill="1" applyBorder="1" applyAlignment="1">
      <alignment horizontal="left" vertical="top" wrapText="1"/>
    </xf>
    <xf numFmtId="0" fontId="0" fillId="3" borderId="34" xfId="0" applyFill="1" applyBorder="1" applyAlignment="1">
      <alignment horizontal="left" vertical="top" wrapText="1"/>
    </xf>
    <xf numFmtId="0" fontId="0" fillId="9" borderId="35" xfId="0" applyFill="1" applyBorder="1" applyAlignment="1">
      <alignment vertical="top" wrapText="1"/>
    </xf>
    <xf numFmtId="0" fontId="0" fillId="9" borderId="36" xfId="0" applyFill="1" applyBorder="1" applyAlignment="1">
      <alignment vertical="top" wrapText="1"/>
    </xf>
    <xf numFmtId="0" fontId="0" fillId="9" borderId="37" xfId="0" applyFill="1" applyBorder="1" applyAlignment="1">
      <alignment vertical="top" wrapText="1"/>
    </xf>
    <xf numFmtId="0" fontId="0" fillId="9" borderId="38" xfId="0" applyFill="1" applyBorder="1" applyAlignment="1">
      <alignment vertical="top" wrapText="1"/>
    </xf>
    <xf numFmtId="0" fontId="0" fillId="9" borderId="39" xfId="0" applyFill="1" applyBorder="1" applyAlignment="1">
      <alignment vertical="top" wrapText="1"/>
    </xf>
    <xf numFmtId="0" fontId="0" fillId="7" borderId="12" xfId="0" applyFill="1" applyBorder="1" applyAlignment="1">
      <alignment vertical="top" wrapText="1"/>
    </xf>
    <xf numFmtId="0" fontId="0" fillId="7" borderId="13" xfId="0" applyFill="1" applyBorder="1" applyAlignment="1">
      <alignment vertical="top" wrapText="1"/>
    </xf>
    <xf numFmtId="0" fontId="0" fillId="7" borderId="14" xfId="0" applyFill="1" applyBorder="1" applyAlignment="1">
      <alignment vertical="top" wrapText="1"/>
    </xf>
    <xf numFmtId="0" fontId="0" fillId="7" borderId="15" xfId="0" applyFill="1" applyBorder="1" applyAlignment="1">
      <alignment vertical="top" wrapText="1"/>
    </xf>
    <xf numFmtId="0" fontId="0" fillId="7" borderId="16" xfId="0" applyFill="1" applyBorder="1" applyAlignment="1">
      <alignment vertical="top" wrapText="1"/>
    </xf>
    <xf numFmtId="0" fontId="0" fillId="15" borderId="40" xfId="0" applyFill="1" applyBorder="1" applyAlignment="1">
      <alignment vertical="top" wrapText="1"/>
    </xf>
    <xf numFmtId="0" fontId="0" fillId="15" borderId="41" xfId="0" applyFill="1" applyBorder="1" applyAlignment="1">
      <alignment vertical="top" wrapText="1"/>
    </xf>
    <xf numFmtId="0" fontId="0" fillId="15" borderId="42" xfId="0" applyFill="1" applyBorder="1" applyAlignment="1">
      <alignment vertical="top" wrapText="1"/>
    </xf>
    <xf numFmtId="0" fontId="0" fillId="15" borderId="43" xfId="0" applyFill="1" applyBorder="1" applyAlignment="1">
      <alignment vertical="top" wrapText="1"/>
    </xf>
    <xf numFmtId="0" fontId="0" fillId="15" borderId="44" xfId="0" applyFill="1" applyBorder="1" applyAlignment="1">
      <alignment vertical="top" wrapText="1"/>
    </xf>
    <xf numFmtId="0" fontId="7" fillId="14" borderId="45" xfId="0" applyFont="1" applyFill="1" applyBorder="1" applyAlignment="1">
      <alignment horizontal="center" vertical="center"/>
    </xf>
    <xf numFmtId="0" fontId="7" fillId="14" borderId="46" xfId="0" applyFont="1" applyFill="1" applyBorder="1" applyAlignment="1">
      <alignment horizontal="center" vertical="center"/>
    </xf>
    <xf numFmtId="0" fontId="7" fillId="14" borderId="47" xfId="0" applyFont="1" applyFill="1" applyBorder="1" applyAlignment="1">
      <alignment horizontal="center" vertical="center"/>
    </xf>
    <xf numFmtId="0" fontId="7" fillId="13" borderId="48" xfId="0" applyFont="1" applyFill="1" applyBorder="1" applyAlignment="1">
      <alignment horizontal="center" vertical="center"/>
    </xf>
    <xf numFmtId="0" fontId="7" fillId="13" borderId="49" xfId="0" applyFont="1" applyFill="1" applyBorder="1" applyAlignment="1">
      <alignment horizontal="center" vertical="center"/>
    </xf>
    <xf numFmtId="0" fontId="7" fillId="13" borderId="50" xfId="0" applyFont="1" applyFill="1" applyBorder="1" applyAlignment="1">
      <alignment horizontal="center" vertical="center"/>
    </xf>
    <xf numFmtId="0" fontId="7" fillId="8" borderId="51" xfId="0" applyFont="1" applyFill="1" applyBorder="1" applyAlignment="1">
      <alignment horizontal="center" vertical="center"/>
    </xf>
    <xf numFmtId="0" fontId="7" fillId="8" borderId="52" xfId="0" applyFont="1" applyFill="1" applyBorder="1" applyAlignment="1">
      <alignment horizontal="center" vertical="center"/>
    </xf>
    <xf numFmtId="0" fontId="7" fillId="8" borderId="53" xfId="0" applyFont="1" applyFill="1" applyBorder="1" applyAlignment="1">
      <alignment horizontal="center" vertical="center"/>
    </xf>
    <xf numFmtId="0" fontId="7" fillId="4" borderId="54" xfId="0" applyFont="1" applyFill="1" applyBorder="1" applyAlignment="1">
      <alignment horizontal="center" vertical="center"/>
    </xf>
    <xf numFmtId="0" fontId="7" fillId="4" borderId="55" xfId="0" applyFont="1" applyFill="1" applyBorder="1" applyAlignment="1">
      <alignment horizontal="center" vertical="center"/>
    </xf>
    <xf numFmtId="0" fontId="7" fillId="4" borderId="56" xfId="0" applyFont="1" applyFill="1" applyBorder="1" applyAlignment="1">
      <alignment horizontal="center" vertical="center"/>
    </xf>
    <xf numFmtId="0" fontId="0" fillId="5" borderId="57" xfId="0" applyFill="1" applyBorder="1" applyAlignment="1">
      <alignment horizontal="left" vertical="top" wrapText="1"/>
    </xf>
    <xf numFmtId="0" fontId="0" fillId="5" borderId="58" xfId="0" applyFill="1" applyBorder="1" applyAlignment="1">
      <alignment horizontal="left" vertical="top" wrapText="1"/>
    </xf>
    <xf numFmtId="0" fontId="0" fillId="5" borderId="59" xfId="0" applyFill="1" applyBorder="1" applyAlignment="1">
      <alignment horizontal="left" vertical="top" wrapText="1"/>
    </xf>
    <xf numFmtId="0" fontId="0" fillId="5" borderId="60" xfId="0" applyFill="1" applyBorder="1" applyAlignment="1">
      <alignment horizontal="left" vertical="top" wrapText="1"/>
    </xf>
    <xf numFmtId="0" fontId="0" fillId="5" borderId="61" xfId="0" applyFill="1" applyBorder="1" applyAlignment="1">
      <alignment horizontal="left" vertical="top" wrapText="1"/>
    </xf>
    <xf numFmtId="0" fontId="0" fillId="5" borderId="62" xfId="0" applyFill="1" applyBorder="1" applyAlignment="1">
      <alignment horizontal="left" vertical="top" wrapText="1"/>
    </xf>
    <xf numFmtId="0" fontId="0" fillId="5" borderId="63" xfId="0" applyFill="1" applyBorder="1" applyAlignment="1">
      <alignment horizontal="left" vertical="top" wrapText="1"/>
    </xf>
    <xf numFmtId="0" fontId="0" fillId="5" borderId="64" xfId="0" applyFill="1" applyBorder="1" applyAlignment="1">
      <alignment horizontal="left" vertical="top" wrapText="1"/>
    </xf>
    <xf numFmtId="0" fontId="7" fillId="2" borderId="65" xfId="0" applyFont="1" applyFill="1" applyBorder="1" applyAlignment="1">
      <alignment horizontal="center" vertical="center"/>
    </xf>
    <xf numFmtId="0" fontId="7" fillId="2" borderId="66" xfId="0" applyFont="1" applyFill="1" applyBorder="1" applyAlignment="1">
      <alignment horizontal="center" vertical="center"/>
    </xf>
    <xf numFmtId="0" fontId="7" fillId="2" borderId="67" xfId="0" applyFont="1" applyFill="1" applyBorder="1" applyAlignment="1">
      <alignment horizontal="center" vertical="center"/>
    </xf>
    <xf numFmtId="0" fontId="0" fillId="3" borderId="27" xfId="0" applyFill="1" applyBorder="1" applyAlignment="1">
      <alignment horizontal="left" vertical="top" wrapText="1"/>
    </xf>
    <xf numFmtId="0" fontId="0" fillId="3" borderId="28" xfId="0" applyFill="1" applyBorder="1" applyAlignment="1">
      <alignment horizontal="left" vertical="top" wrapText="1"/>
    </xf>
    <xf numFmtId="0" fontId="0" fillId="3" borderId="29" xfId="0" applyFill="1" applyBorder="1" applyAlignment="1">
      <alignment horizontal="left" vertical="top" wrapText="1"/>
    </xf>
    <xf numFmtId="0" fontId="6" fillId="18" borderId="0" xfId="0" applyFont="1" applyFill="1" applyAlignment="1">
      <alignment horizontal="left" vertical="center"/>
    </xf>
    <xf numFmtId="0" fontId="1" fillId="18" borderId="0" xfId="0" applyFont="1" applyFill="1" applyBorder="1" applyAlignment="1">
      <alignment horizontal="left" vertical="center"/>
    </xf>
    <xf numFmtId="0" fontId="7" fillId="6" borderId="68" xfId="0" applyFont="1" applyFill="1" applyBorder="1" applyAlignment="1">
      <alignment horizontal="center" vertical="center"/>
    </xf>
    <xf numFmtId="0" fontId="7" fillId="6" borderId="69" xfId="0" applyFont="1" applyFill="1" applyBorder="1" applyAlignment="1">
      <alignment horizontal="center" vertical="center"/>
    </xf>
    <xf numFmtId="0" fontId="7" fillId="6" borderId="70" xfId="0" applyFont="1" applyFill="1" applyBorder="1" applyAlignment="1">
      <alignment horizontal="center" vertical="center"/>
    </xf>
  </cellXfs>
  <cellStyles count="1">
    <cellStyle name="Standard" xfId="0" builtinId="0"/>
  </cellStyles>
  <dxfs count="82">
    <dxf>
      <numFmt numFmtId="19" formatCode="dd/mm/yyyy"/>
      <alignment horizontal="right"/>
    </dxf>
    <dxf>
      <font>
        <b val="0"/>
      </font>
      <numFmt numFmtId="19" formatCode="dd/mm/yyyy"/>
      <alignment horizontal="right"/>
    </dxf>
    <dxf>
      <font>
        <b/>
        <i val="0"/>
        <color rgb="FF538135"/>
      </font>
      <fill>
        <patternFill patternType="solid">
          <fgColor indexed="64"/>
          <bgColor rgb="FFE2EFDA"/>
        </patternFill>
      </fill>
    </dxf>
    <dxf>
      <font>
        <color rgb="FF2E75B6"/>
      </font>
      <fill>
        <patternFill patternType="solid">
          <fgColor indexed="64"/>
          <bgColor rgb="FFDEEBF7"/>
        </patternFill>
      </fill>
    </dxf>
    <dxf>
      <font>
        <color rgb="FFC65911"/>
      </font>
      <fill>
        <patternFill patternType="solid">
          <fgColor indexed="64"/>
          <bgColor rgb="FFFCE4D6"/>
        </patternFill>
      </fill>
    </dxf>
    <dxf>
      <font>
        <b/>
        <i val="0"/>
        <color rgb="FF7030A0"/>
      </font>
      <fill>
        <patternFill patternType="solid">
          <fgColor indexed="64"/>
          <bgColor rgb="FFE2D5F1"/>
        </patternFill>
      </fill>
    </dxf>
    <dxf>
      <font>
        <color rgb="FF44546A"/>
      </font>
      <fill>
        <patternFill patternType="solid">
          <fgColor indexed="64"/>
          <bgColor rgb="FFD6DCE5"/>
        </patternFill>
      </fill>
    </dxf>
    <dxf>
      <font>
        <color rgb="FF2E75B6"/>
      </font>
      <fill>
        <patternFill patternType="solid">
          <fgColor indexed="64"/>
          <bgColor rgb="FFDEEBF7"/>
        </patternFill>
      </fill>
    </dxf>
    <dxf>
      <font>
        <b/>
        <i val="0"/>
        <color rgb="FFC65911"/>
      </font>
      <fill>
        <patternFill patternType="solid">
          <fgColor indexed="64"/>
          <bgColor rgb="FFFCE4D6"/>
        </patternFill>
      </fill>
    </dxf>
    <dxf>
      <font>
        <color rgb="FF2E75B6"/>
      </font>
      <fill>
        <patternFill patternType="solid">
          <fgColor indexed="64"/>
          <bgColor rgb="FFDEEBF7"/>
        </patternFill>
      </fill>
    </dxf>
    <dxf>
      <font>
        <color rgb="FFC65911"/>
      </font>
      <fill>
        <patternFill patternType="solid">
          <fgColor indexed="64"/>
          <bgColor rgb="FFFCE4D6"/>
        </patternFill>
      </fill>
    </dxf>
    <dxf>
      <font>
        <b/>
        <i val="0"/>
        <color rgb="FF7030A0"/>
      </font>
      <fill>
        <patternFill patternType="solid">
          <fgColor indexed="64"/>
          <bgColor rgb="FFE2D5F1"/>
        </patternFill>
      </fill>
    </dxf>
    <dxf>
      <font>
        <color rgb="FF2E75B6"/>
      </font>
      <fill>
        <patternFill patternType="solid">
          <fgColor indexed="64"/>
          <bgColor rgb="FFDEEBF7"/>
        </patternFill>
      </fill>
    </dxf>
    <dxf>
      <font>
        <b/>
        <i val="0"/>
        <color rgb="FFC65911"/>
      </font>
      <fill>
        <patternFill patternType="solid">
          <fgColor indexed="64"/>
          <bgColor rgb="FFFCE4D6"/>
        </patternFill>
      </fill>
    </dxf>
    <dxf>
      <font>
        <color rgb="FF44546A"/>
      </font>
      <fill>
        <patternFill patternType="solid">
          <fgColor indexed="64"/>
          <bgColor rgb="FFD6DCE5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2E75B6"/>
      </font>
      <fill>
        <patternFill patternType="solid">
          <fgColor indexed="64"/>
          <bgColor rgb="FFDDEBF7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2E75B6"/>
      </font>
      <fill>
        <patternFill patternType="solid">
          <fgColor indexed="64"/>
          <bgColor rgb="FFDEEBF7"/>
        </patternFill>
      </fill>
    </dxf>
    <dxf>
      <font>
        <color rgb="FFC65911"/>
      </font>
      <fill>
        <patternFill patternType="solid">
          <fgColor indexed="64"/>
          <bgColor rgb="FFFCE4D6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538135"/>
      </font>
      <fill>
        <patternFill patternType="solid">
          <fgColor indexed="64"/>
          <bgColor rgb="FFE2EFDA"/>
        </patternFill>
      </fill>
    </dxf>
    <dxf>
      <font>
        <color rgb="FF7030A0"/>
      </font>
      <fill>
        <patternFill patternType="solid">
          <fgColor indexed="64"/>
          <bgColor rgb="FFE2D5F1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44546A"/>
      </font>
      <fill>
        <patternFill patternType="solid">
          <fgColor indexed="64"/>
          <bgColor rgb="FFD6DCE5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2E75B6"/>
      </font>
      <fill>
        <patternFill patternType="solid">
          <fgColor indexed="64"/>
          <bgColor rgb="FFDDEBF7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2E75B6"/>
      </font>
      <fill>
        <patternFill patternType="solid">
          <fgColor indexed="64"/>
          <bgColor rgb="FFDEEBF7"/>
        </patternFill>
      </fill>
    </dxf>
    <dxf>
      <font>
        <color rgb="FFC65911"/>
      </font>
      <fill>
        <patternFill patternType="solid">
          <fgColor indexed="64"/>
          <bgColor rgb="FFFCE4D6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538135"/>
      </font>
      <fill>
        <patternFill patternType="solid">
          <fgColor indexed="64"/>
          <bgColor rgb="FFE2EFDA"/>
        </patternFill>
      </fill>
    </dxf>
    <dxf>
      <font>
        <color rgb="FF7030A0"/>
      </font>
      <fill>
        <patternFill patternType="solid">
          <fgColor indexed="64"/>
          <bgColor rgb="FFE2D5F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2E75B6"/>
        </patternFill>
      </fill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2E75B6"/>
        </patternFill>
      </fill>
      <alignment horizontal="center"/>
    </dxf>
    <dxf>
      <font>
        <b val="0"/>
      </font>
      <alignment horizontal="left" textRotation="0" wrapText="1" indent="0" justifyLastLine="0" shrinkToFit="0" readingOrder="0"/>
    </dxf>
    <dxf>
      <font>
        <b val="0"/>
      </font>
      <alignment horizontal="left"/>
    </dxf>
    <dxf>
      <font>
        <b val="0"/>
      </font>
      <alignment horizontal="left"/>
    </dxf>
    <dxf>
      <numFmt numFmtId="0" formatCode="General"/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9" formatCode="dd/mm/yyyy"/>
      <alignment horizontal="right"/>
    </dxf>
    <dxf>
      <numFmt numFmtId="19" formatCode="dd/mm/yyyy"/>
      <alignment horizontal="right"/>
    </dxf>
    <dxf>
      <alignment horizontal="left"/>
    </dxf>
    <dxf>
      <alignment horizontal="left"/>
    </dxf>
    <dxf>
      <numFmt numFmtId="19" formatCode="dd/mm/yyyy"/>
      <alignment horizontal="righ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 val="0"/>
      </font>
      <alignment horizontal="left"/>
    </dxf>
    <dxf>
      <font>
        <b val="0"/>
      </font>
      <alignment horizontal="left"/>
    </dxf>
    <dxf>
      <font>
        <b val="0"/>
      </font>
      <alignment horizontal="left"/>
    </dxf>
    <dxf>
      <font>
        <b val="0"/>
      </font>
      <alignment horizontal="left"/>
    </dxf>
    <dxf>
      <font>
        <b val="0"/>
      </font>
      <numFmt numFmtId="19" formatCode="dd/mm/yyyy"/>
      <alignment horizontal="right"/>
    </dxf>
    <dxf>
      <font>
        <b val="0"/>
      </font>
      <numFmt numFmtId="19" formatCode="dd/mm/yyyy"/>
      <alignment horizontal="right"/>
    </dxf>
    <dxf>
      <font>
        <b val="0"/>
      </font>
      <alignment horizontal="left"/>
    </dxf>
    <dxf>
      <font>
        <b val="0"/>
      </font>
      <alignment horizontal="left"/>
    </dxf>
    <dxf>
      <font>
        <b val="0"/>
      </font>
      <numFmt numFmtId="19" formatCode="dd/mm/yyyy"/>
      <alignment horizontal="right"/>
    </dxf>
    <dxf>
      <font>
        <b val="0"/>
      </font>
      <alignment horizontal="left"/>
    </dxf>
    <dxf>
      <font>
        <b val="0"/>
      </font>
      <alignment horizontal="left"/>
    </dxf>
    <dxf>
      <font>
        <b val="0"/>
      </font>
      <alignment horizontal="left"/>
    </dxf>
    <dxf>
      <font>
        <b val="0"/>
      </font>
      <alignment horizontal="left"/>
    </dxf>
    <dxf>
      <font>
        <b val="0"/>
      </font>
      <alignment horizontal="left"/>
    </dxf>
    <dxf>
      <font>
        <b val="0"/>
      </font>
      <alignment horizontal="left"/>
    </dxf>
    <dxf>
      <font>
        <b val="0"/>
      </font>
      <alignment horizontal="left"/>
    </dxf>
    <dxf>
      <font>
        <b val="0"/>
      </font>
      <alignment horizontal="left"/>
    </dxf>
    <dxf>
      <font>
        <b val="0"/>
      </font>
      <alignment horizontal="left"/>
    </dxf>
    <dxf>
      <font>
        <b val="0"/>
      </font>
    </dxf>
  </dxfs>
  <tableStyles count="0" defaultTableStyle="TableStyleMedium9" defaultPivotStyle="PivotStyleLight16"/>
  <colors>
    <mruColors>
      <color rgb="FF9C0006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68CD13-68F4-42DA-984F-FF97D2D57083}" name="Tabelle15" displayName="Tabelle15" ref="A1:V5" totalsRowShown="0" headerRowDxfId="37">
  <autoFilter ref="A1:V5" xr:uid="{AE797DB4-DC0C-4372-AD9E-5B58F7E5DCE6}"/>
  <tableColumns count="22">
    <tableColumn id="1" xr3:uid="{A78F9162-8850-4AC1-A6C4-06F82068ABF7}" name="Bewerbungs-ID" dataDxfId="42">
      <calculatedColumnFormula>IF(B2="","","BEW-"&amp;YEAR(J2)&amp;"-"&amp;TEXT(ROW()-1,"000"))</calculatedColumnFormula>
    </tableColumn>
    <tableColumn id="2" xr3:uid="{C34C39F3-3563-49E4-BE17-CDE9B8C797F5}" name="Unternehmen *" dataDxfId="62"/>
    <tableColumn id="3" xr3:uid="{6F86E037-D227-41F1-96FD-B4E66B22AA86}" name="Ort" dataDxfId="61"/>
    <tableColumn id="4" xr3:uid="{2AA83EDE-A022-4767-B4D2-111BBA8CDD35}" name="Position *" dataDxfId="60"/>
    <tableColumn id="5" xr3:uid="{125351D6-0A65-485E-A038-880DE7103529}" name="Referenznummer" dataDxfId="59"/>
    <tableColumn id="6" xr3:uid="{194EC5DA-CE7E-4327-A568-D3C9F7F9A83D}" name="Ansprechpartner" dataDxfId="58"/>
    <tableColumn id="7" xr3:uid="{17E0FCAB-E00A-4844-AB1E-E049AB0BB3D7}" name="Kontakt (E-Mail/Telefon)" dataDxfId="57"/>
    <tableColumn id="8" xr3:uid="{A71785F5-C13D-41FB-ABC9-8B482A747599}" name="Quelle" dataDxfId="56"/>
    <tableColumn id="9" xr3:uid="{763B223E-C129-446F-A8BE-7B063D4B2252}" name="Art der Bewerbung" dataDxfId="55"/>
    <tableColumn id="10" xr3:uid="{758014B0-F74E-4BFA-B5AC-4C78B3C2CAA1}" name="Datum der Bewerbung *" dataDxfId="54"/>
    <tableColumn id="11" xr3:uid="{1171CB59-6023-4646-9016-5C3D22F7B37D}" name="Versendete Unterlagen" dataDxfId="53"/>
    <tableColumn id="12" xr3:uid="{70ADF10C-3CD8-4012-AAB4-7A5A231AF6B1}" name="Aktueller Status *" dataDxfId="52"/>
    <tableColumn id="13" xr3:uid="{D1296CCF-D9C1-4BFC-949B-AC5BCBA33AC9}" name="Status-Datum *" dataDxfId="51"/>
    <tableColumn id="14" xr3:uid="{0CB77B7B-E90C-49E9-B65F-1166122AFC28}" name="Letzte Kontaktaufnahme" dataDxfId="50"/>
    <tableColumn id="15" xr3:uid="{FF416955-878D-43B0-BB0B-7119BB1AE10D}" name="Art der Kontaktaufnahme" dataDxfId="49"/>
    <tableColumn id="16" xr3:uid="{1EC3E17F-3955-4091-88A4-5DE9502EA3B7}" name="Ergebnis der Nachfrage" dataDxfId="48"/>
    <tableColumn id="17" xr3:uid="{55A72984-9788-4ACF-B671-86F234741223}" name="Nächster Schritt" dataDxfId="47"/>
    <tableColumn id="18" xr3:uid="{C5345352-51FB-47E8-A9D6-AD3F98E07B52}" name="Erinnerungsdatum" dataDxfId="0">
      <calculatedColumnFormula>IF(OR(L2="Bewerbung versendet",L2="Eingangsbestätigung",L2="Rückmeldung ausstehend"),M2+14,"")</calculatedColumnFormula>
    </tableColumn>
    <tableColumn id="19" xr3:uid="{977718C0-F0F5-43BE-A845-7B53A7A7D900}" name="Priorität" dataDxfId="46"/>
    <tableColumn id="20" xr3:uid="{AA30062B-F8A9-4421-A49F-B3CE15411178}" name="Endergebnis" dataDxfId="45"/>
    <tableColumn id="21" xr3:uid="{9EAC7FCB-D20A-46B5-B3B2-77812D1FB2AF}" name="Notizen" dataDxfId="44"/>
    <tableColumn id="22" xr3:uid="{15FA0C19-A2BF-414D-8DBD-81BBBEC5BCDC}" name="Heute erledigen?" dataDxfId="43">
      <calculatedColumnFormula>IF(AND(R2&lt;&gt;"",R2&lt;=TODAY(),T2=""),"ja","")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797DB4-DC0C-4372-AD9E-5B58F7E5DCE6}" name="Tabelle1" displayName="Tabelle1" ref="A1:V20" totalsRowShown="0" headerRowDxfId="38" dataDxfId="81">
  <autoFilter ref="A1:V20" xr:uid="{AE797DB4-DC0C-4372-AD9E-5B58F7E5DCE6}"/>
  <tableColumns count="22">
    <tableColumn id="1" xr3:uid="{E187780A-E89A-4319-BA26-D311D8B9AC38}" name="Bewerbungs-ID_x000a_(Automatik)" dataDxfId="80">
      <calculatedColumnFormula>IF(B2="","","BEW-"&amp;YEAR(J2)&amp;"-"&amp;TEXT(ROW()-1,"000"))</calculatedColumnFormula>
    </tableColumn>
    <tableColumn id="2" xr3:uid="{5C6A7717-97C9-4E92-8BAC-F0C688AC121E}" name="Unternehmen *" dataDxfId="79"/>
    <tableColumn id="3" xr3:uid="{053D11B4-697C-4ECF-B925-4688956B7581}" name="Ort" dataDxfId="78"/>
    <tableColumn id="4" xr3:uid="{77C1E7BE-9AE0-42EA-85F6-D4A88A5FB59E}" name="Position *" dataDxfId="77"/>
    <tableColumn id="5" xr3:uid="{3BBEB9DF-4CE4-4595-BAC1-C803CF41C8F7}" name="Referenznummer" dataDxfId="76"/>
    <tableColumn id="6" xr3:uid="{9B9F2700-6E73-4055-A892-1842E50E1C3D}" name="Ansprechpartner" dataDxfId="75"/>
    <tableColumn id="7" xr3:uid="{D445C4A0-9D36-4699-882A-EA5EF5E1A9C9}" name="Kontakt (E-Mail/Telefon)" dataDxfId="74"/>
    <tableColumn id="8" xr3:uid="{A53A95B1-FADE-4153-9B82-76F6FF6986DE}" name="Quelle" dataDxfId="73"/>
    <tableColumn id="9" xr3:uid="{7454B126-6B08-47FD-9D52-41300C2FF06C}" name="Art der Bewerbung" dataDxfId="72"/>
    <tableColumn id="10" xr3:uid="{D3752A23-CA7F-4BCF-992E-B3171C5CDE8A}" name="Datum der Bewerbung *" dataDxfId="71"/>
    <tableColumn id="11" xr3:uid="{BD081EA3-9C81-468A-A924-A4489CB27460}" name="Versendete Unterlagen" dataDxfId="70"/>
    <tableColumn id="12" xr3:uid="{22285A95-4C1E-4AEC-90DB-B43B26573764}" name="Aktueller Status *" dataDxfId="69"/>
    <tableColumn id="13" xr3:uid="{8237AEE9-A87B-445F-98ED-4A4919A1BBC6}" name="Status-Datum" dataDxfId="68"/>
    <tableColumn id="14" xr3:uid="{137A212D-B50D-4480-B49B-25871DD18A43}" name="Letzte Kontaktaufnahme" dataDxfId="67"/>
    <tableColumn id="15" xr3:uid="{0C132552-8E08-4606-8457-381A11909917}" name="Art der Kontaktaufnahme" dataDxfId="66"/>
    <tableColumn id="16" xr3:uid="{C3C4E4BB-EA2F-43AA-BAB2-8E5739FA31DB}" name="Ergebnis der Nachfrage" dataDxfId="65"/>
    <tableColumn id="17" xr3:uid="{41095FE7-1C42-489F-A026-BA6075F5A36D}" name="Nächster Schritt" dataDxfId="64"/>
    <tableColumn id="18" xr3:uid="{4E2818A0-1DE5-4EFE-A3E4-27DC5EE90391}" name="Erinnerungsdatum_x000a_(Automatik)" dataDxfId="1">
      <calculatedColumnFormula>IF(OR(L2="Bewerbung versendet",L2="Eingangsbestätigung",L2="Rückmeldung ausstehend"),M2+14,"")</calculatedColumnFormula>
    </tableColumn>
    <tableColumn id="19" xr3:uid="{AFFB3D71-37E9-4225-A5FD-9B44D2B58C65}" name="Priorität" dataDxfId="63"/>
    <tableColumn id="20" xr3:uid="{E9287668-383F-44CC-98A1-2061B38ECC63}" name="Endergebnis" dataDxfId="41"/>
    <tableColumn id="21" xr3:uid="{12A65931-4AE1-4AE2-A827-A11CE5EA9413}" name="Notizen" dataDxfId="39"/>
    <tableColumn id="22" xr3:uid="{77B77495-6D4B-4037-B89F-FF0DFB784F17}" name="Heute erledigen?" dataDxfId="40">
      <calculatedColumnFormula>IF(AND(R2&lt;&gt;"",R2&lt;=TODAY(),T2=""),"ja","")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5C95E-F612-472B-9D90-D571D9B0F95F}">
  <sheetPr codeName="Tabelle1"/>
  <dimension ref="A1:V43"/>
  <sheetViews>
    <sheetView showGridLines="0" topLeftCell="K1" workbookViewId="0">
      <selection activeCell="L2" sqref="L2"/>
    </sheetView>
  </sheetViews>
  <sheetFormatPr baseColWidth="10" defaultColWidth="9.140625" defaultRowHeight="15" outlineLevelCol="1" x14ac:dyDescent="0.25"/>
  <cols>
    <col min="1" max="1" width="16.85546875" bestFit="1" customWidth="1"/>
    <col min="2" max="2" width="28.140625" customWidth="1"/>
    <col min="3" max="3" width="12.5703125" hidden="1" customWidth="1" outlineLevel="1"/>
    <col min="4" max="4" width="26.140625" hidden="1" customWidth="1" outlineLevel="1"/>
    <col min="5" max="5" width="19" hidden="1" customWidth="1" outlineLevel="1"/>
    <col min="6" max="6" width="18.140625" hidden="1" customWidth="1" outlineLevel="1"/>
    <col min="7" max="7" width="25.7109375" hidden="1" customWidth="1" outlineLevel="1"/>
    <col min="8" max="8" width="21.7109375" bestFit="1" customWidth="1" collapsed="1"/>
    <col min="9" max="9" width="20.140625" bestFit="1" customWidth="1"/>
    <col min="10" max="10" width="23.28515625" style="2" bestFit="1" customWidth="1"/>
    <col min="11" max="11" width="24.42578125" bestFit="1" customWidth="1"/>
    <col min="12" max="12" width="19.7109375" bestFit="1" customWidth="1"/>
    <col min="13" max="13" width="15.28515625" style="2" bestFit="1" customWidth="1"/>
    <col min="14" max="14" width="25.28515625" style="2" bestFit="1" customWidth="1"/>
    <col min="15" max="15" width="26" bestFit="1" customWidth="1"/>
    <col min="16" max="16" width="24" bestFit="1" customWidth="1"/>
    <col min="17" max="17" width="21.85546875" bestFit="1" customWidth="1"/>
    <col min="18" max="18" width="19.7109375" style="2" bestFit="1" customWidth="1"/>
    <col min="19" max="19" width="10.5703125" bestFit="1" customWidth="1"/>
    <col min="20" max="20" width="14.28515625" bestFit="1" customWidth="1"/>
    <col min="21" max="21" width="28.7109375" bestFit="1" customWidth="1"/>
    <col min="22" max="22" width="18.85546875" customWidth="1"/>
  </cols>
  <sheetData>
    <row r="1" spans="1:22" s="1" customFormat="1" ht="29.25" customHeight="1" x14ac:dyDescent="0.25">
      <c r="A1" s="34" t="s">
        <v>0</v>
      </c>
      <c r="B1" s="34" t="s">
        <v>131</v>
      </c>
      <c r="C1" s="34" t="s">
        <v>1</v>
      </c>
      <c r="D1" s="34" t="s">
        <v>132</v>
      </c>
      <c r="E1" s="34" t="s">
        <v>2</v>
      </c>
      <c r="F1" s="34" t="s">
        <v>3</v>
      </c>
      <c r="G1" s="34" t="s">
        <v>4</v>
      </c>
      <c r="H1" s="34" t="s">
        <v>5</v>
      </c>
      <c r="I1" s="34" t="s">
        <v>6</v>
      </c>
      <c r="J1" s="35" t="s">
        <v>133</v>
      </c>
      <c r="K1" s="34" t="s">
        <v>7</v>
      </c>
      <c r="L1" s="34" t="s">
        <v>134</v>
      </c>
      <c r="M1" s="35" t="s">
        <v>135</v>
      </c>
      <c r="N1" s="35" t="s">
        <v>10</v>
      </c>
      <c r="O1" s="34" t="s">
        <v>11</v>
      </c>
      <c r="P1" s="34" t="s">
        <v>12</v>
      </c>
      <c r="Q1" s="34" t="s">
        <v>13</v>
      </c>
      <c r="R1" s="35" t="s">
        <v>14</v>
      </c>
      <c r="S1" s="34" t="s">
        <v>15</v>
      </c>
      <c r="T1" s="34" t="s">
        <v>16</v>
      </c>
      <c r="U1" s="34" t="s">
        <v>17</v>
      </c>
      <c r="V1" s="37" t="s">
        <v>18</v>
      </c>
    </row>
    <row r="2" spans="1:22" x14ac:dyDescent="0.25">
      <c r="A2" s="6" t="str">
        <f t="shared" ref="A2:A5" si="0">IF(B2="","","BEW-"&amp;YEAR(J2)&amp;"-"&amp;TEXT(ROW()-1,"000"))</f>
        <v>BEW-2026-001</v>
      </c>
      <c r="B2" s="6" t="s">
        <v>75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25</v>
      </c>
      <c r="J2" s="7">
        <v>46133</v>
      </c>
      <c r="K2" s="6" t="s">
        <v>26</v>
      </c>
      <c r="L2" s="6" t="s">
        <v>27</v>
      </c>
      <c r="M2" s="7">
        <v>46133</v>
      </c>
      <c r="N2" s="7">
        <v>46139</v>
      </c>
      <c r="O2" s="6" t="s">
        <v>25</v>
      </c>
      <c r="P2" s="6" t="s">
        <v>28</v>
      </c>
      <c r="Q2" s="6" t="s">
        <v>29</v>
      </c>
      <c r="R2" s="7">
        <f>IF(OR(L2="Bewerbung versendet",L2="Eingangsbestätigung",L2="Rückmeldung ausstehend"),M2+14,"")</f>
        <v>46147</v>
      </c>
      <c r="S2" s="6" t="s">
        <v>30</v>
      </c>
      <c r="T2" s="6"/>
      <c r="U2" s="6" t="s">
        <v>54</v>
      </c>
      <c r="V2" s="6" t="str">
        <f ca="1">IF(AND(R2&lt;&gt;"",R2&lt;=TODAY(),T2=""),"ja","")</f>
        <v>ja</v>
      </c>
    </row>
    <row r="3" spans="1:22" x14ac:dyDescent="0.25">
      <c r="A3" s="6" t="str">
        <f t="shared" si="0"/>
        <v>BEW-2026-002</v>
      </c>
      <c r="B3" s="6" t="s">
        <v>83</v>
      </c>
      <c r="C3" s="6" t="s">
        <v>31</v>
      </c>
      <c r="D3" s="6" t="s">
        <v>32</v>
      </c>
      <c r="E3" s="6"/>
      <c r="F3" s="6" t="s">
        <v>33</v>
      </c>
      <c r="G3" s="6"/>
      <c r="H3" s="6" t="s">
        <v>34</v>
      </c>
      <c r="I3" s="6" t="s">
        <v>35</v>
      </c>
      <c r="J3" s="7">
        <v>46126</v>
      </c>
      <c r="K3" s="6" t="s">
        <v>36</v>
      </c>
      <c r="L3" s="6" t="s">
        <v>37</v>
      </c>
      <c r="M3" s="7">
        <v>46138</v>
      </c>
      <c r="N3" s="7"/>
      <c r="O3" s="6"/>
      <c r="P3" s="6"/>
      <c r="Q3" s="6" t="s">
        <v>38</v>
      </c>
      <c r="R3" s="7" t="str">
        <f>IF(OR(L3="Bewerbung versendet",L3="Eingangsbestätigung",L3="Rückmeldung ausstehend"),M3+14,"")</f>
        <v/>
      </c>
      <c r="S3" s="6" t="s">
        <v>39</v>
      </c>
      <c r="T3" s="6"/>
      <c r="U3" s="6" t="s">
        <v>55</v>
      </c>
      <c r="V3" s="6" t="str">
        <f t="shared" ref="V3:V5" ca="1" si="1">IF(AND(R3&lt;&gt;"",R3&lt;=TODAY(),T3=""),"ja","")</f>
        <v/>
      </c>
    </row>
    <row r="4" spans="1:22" x14ac:dyDescent="0.25">
      <c r="A4" s="6" t="str">
        <f t="shared" si="0"/>
        <v>BEW-2026-003</v>
      </c>
      <c r="B4" s="6" t="s">
        <v>91</v>
      </c>
      <c r="C4" s="6" t="s">
        <v>40</v>
      </c>
      <c r="D4" s="6" t="s">
        <v>41</v>
      </c>
      <c r="E4" s="6"/>
      <c r="F4" s="6"/>
      <c r="G4" s="6"/>
      <c r="H4" s="6" t="s">
        <v>42</v>
      </c>
      <c r="I4" s="6" t="s">
        <v>49</v>
      </c>
      <c r="J4" s="7">
        <v>46111</v>
      </c>
      <c r="K4" s="6" t="s">
        <v>43</v>
      </c>
      <c r="L4" s="6" t="s">
        <v>50</v>
      </c>
      <c r="M4" s="7">
        <v>46127</v>
      </c>
      <c r="N4" s="7"/>
      <c r="O4" s="6"/>
      <c r="P4" s="6"/>
      <c r="Q4" s="6"/>
      <c r="R4" s="7">
        <f>IF(OR(L4="Bewerbung versendet",L4="Eingangsbestätigung",L4="Rückmeldung ausstehend"),M4+14,"")</f>
        <v>46141</v>
      </c>
      <c r="S4" s="6" t="s">
        <v>45</v>
      </c>
      <c r="T4" s="6"/>
      <c r="U4" s="6" t="s">
        <v>56</v>
      </c>
      <c r="V4" s="6" t="str">
        <f t="shared" ca="1" si="1"/>
        <v>ja</v>
      </c>
    </row>
    <row r="5" spans="1:22" x14ac:dyDescent="0.25">
      <c r="A5" s="6" t="str">
        <f t="shared" si="0"/>
        <v>BEW-2026-004</v>
      </c>
      <c r="B5" s="6" t="s">
        <v>136</v>
      </c>
      <c r="C5" s="6"/>
      <c r="D5" s="6"/>
      <c r="E5" s="6"/>
      <c r="F5" s="6"/>
      <c r="G5" s="6"/>
      <c r="H5" s="6" t="s">
        <v>73</v>
      </c>
      <c r="I5" s="6" t="s">
        <v>62</v>
      </c>
      <c r="J5" s="7">
        <v>46175</v>
      </c>
      <c r="K5" s="6" t="s">
        <v>36</v>
      </c>
      <c r="L5" s="6" t="s">
        <v>46</v>
      </c>
      <c r="M5" s="7">
        <v>46186</v>
      </c>
      <c r="N5" s="7"/>
      <c r="O5" s="6"/>
      <c r="P5" s="6"/>
      <c r="Q5" s="6"/>
      <c r="R5" s="7" t="str">
        <f>IF(OR(L5="Bewerbung versendet",L5="Eingangsbestätigung",L5="Rückmeldung ausstehend"),M5+14,"")</f>
        <v/>
      </c>
      <c r="S5" s="6"/>
      <c r="T5" s="6"/>
      <c r="U5" s="6"/>
      <c r="V5" s="6" t="str">
        <f t="shared" ca="1" si="1"/>
        <v/>
      </c>
    </row>
    <row r="7" spans="1:22" ht="35.1" customHeight="1" x14ac:dyDescent="0.25">
      <c r="A7" s="113" t="s">
        <v>112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</row>
    <row r="8" spans="1:22" ht="24.95" customHeight="1" x14ac:dyDescent="0.25">
      <c r="A8" s="114" t="s">
        <v>123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</row>
    <row r="9" spans="1:22" ht="15" customHeight="1" thickBot="1" x14ac:dyDescent="0.6">
      <c r="E9" s="4"/>
    </row>
    <row r="10" spans="1:22" ht="21.95" customHeight="1" thickBot="1" x14ac:dyDescent="0.3">
      <c r="A10" s="107" t="s">
        <v>113</v>
      </c>
      <c r="B10" s="108"/>
      <c r="C10" s="108"/>
      <c r="D10" s="108"/>
      <c r="E10" s="108"/>
      <c r="F10" s="109"/>
      <c r="H10" s="96" t="s">
        <v>115</v>
      </c>
      <c r="I10" s="97"/>
      <c r="J10" s="97"/>
      <c r="K10" s="97"/>
      <c r="L10" s="97"/>
      <c r="M10" s="98"/>
      <c r="O10" s="115" t="s">
        <v>117</v>
      </c>
      <c r="P10" s="116"/>
      <c r="Q10" s="116"/>
      <c r="R10" s="116"/>
      <c r="S10" s="116"/>
      <c r="T10" s="116"/>
      <c r="U10" s="116"/>
      <c r="V10" s="117"/>
    </row>
    <row r="11" spans="1:22" ht="15" customHeight="1" x14ac:dyDescent="0.25">
      <c r="A11" s="110" t="s">
        <v>114</v>
      </c>
      <c r="B11" s="111"/>
      <c r="C11" s="111"/>
      <c r="D11" s="111"/>
      <c r="E11" s="111"/>
      <c r="F11" s="112"/>
      <c r="H11" s="99" t="s">
        <v>116</v>
      </c>
      <c r="I11" s="100"/>
      <c r="J11" s="100"/>
      <c r="K11" s="100"/>
      <c r="L11" s="100"/>
      <c r="M11" s="101"/>
      <c r="O11" s="48" t="s">
        <v>118</v>
      </c>
      <c r="P11" s="46"/>
      <c r="Q11" s="46"/>
      <c r="R11" s="46"/>
      <c r="S11" s="46"/>
      <c r="T11" s="46"/>
      <c r="U11" s="46"/>
      <c r="V11" s="49"/>
    </row>
    <row r="12" spans="1:22" ht="15" customHeight="1" x14ac:dyDescent="0.25">
      <c r="A12" s="67"/>
      <c r="B12" s="66"/>
      <c r="C12" s="66"/>
      <c r="D12" s="66"/>
      <c r="E12" s="66"/>
      <c r="F12" s="68"/>
      <c r="H12" s="102"/>
      <c r="I12" s="65"/>
      <c r="J12" s="65"/>
      <c r="K12" s="65"/>
      <c r="L12" s="65"/>
      <c r="M12" s="103"/>
      <c r="O12" s="50"/>
      <c r="P12" s="47"/>
      <c r="Q12" s="47"/>
      <c r="R12" s="47"/>
      <c r="S12" s="47"/>
      <c r="T12" s="47"/>
      <c r="U12" s="47"/>
      <c r="V12" s="51"/>
    </row>
    <row r="13" spans="1:22" ht="15" customHeight="1" x14ac:dyDescent="0.25">
      <c r="A13" s="67"/>
      <c r="B13" s="66"/>
      <c r="C13" s="66"/>
      <c r="D13" s="66"/>
      <c r="E13" s="66"/>
      <c r="F13" s="68"/>
      <c r="H13" s="102"/>
      <c r="I13" s="65"/>
      <c r="J13" s="65"/>
      <c r="K13" s="65"/>
      <c r="L13" s="65"/>
      <c r="M13" s="103"/>
      <c r="O13" s="50"/>
      <c r="P13" s="47"/>
      <c r="Q13" s="47"/>
      <c r="R13" s="47"/>
      <c r="S13" s="47"/>
      <c r="T13" s="47"/>
      <c r="U13" s="47"/>
      <c r="V13" s="51"/>
    </row>
    <row r="14" spans="1:22" ht="15" customHeight="1" x14ac:dyDescent="0.25">
      <c r="A14" s="67"/>
      <c r="B14" s="66"/>
      <c r="C14" s="66"/>
      <c r="D14" s="66"/>
      <c r="E14" s="66"/>
      <c r="F14" s="68"/>
      <c r="H14" s="102"/>
      <c r="I14" s="65"/>
      <c r="J14" s="65"/>
      <c r="K14" s="65"/>
      <c r="L14" s="65"/>
      <c r="M14" s="103"/>
      <c r="O14" s="50"/>
      <c r="P14" s="47"/>
      <c r="Q14" s="47"/>
      <c r="R14" s="47"/>
      <c r="S14" s="47"/>
      <c r="T14" s="47"/>
      <c r="U14" s="47"/>
      <c r="V14" s="51"/>
    </row>
    <row r="15" spans="1:22" ht="15" customHeight="1" x14ac:dyDescent="0.25">
      <c r="A15" s="67"/>
      <c r="B15" s="66"/>
      <c r="C15" s="66"/>
      <c r="D15" s="66"/>
      <c r="E15" s="66"/>
      <c r="F15" s="68"/>
      <c r="H15" s="102"/>
      <c r="I15" s="65"/>
      <c r="J15" s="65"/>
      <c r="K15" s="65"/>
      <c r="L15" s="65"/>
      <c r="M15" s="103"/>
      <c r="O15" s="50"/>
      <c r="P15" s="47"/>
      <c r="Q15" s="47"/>
      <c r="R15" s="47"/>
      <c r="S15" s="47"/>
      <c r="T15" s="47"/>
      <c r="U15" s="47"/>
      <c r="V15" s="51"/>
    </row>
    <row r="16" spans="1:22" ht="15" customHeight="1" x14ac:dyDescent="0.25">
      <c r="A16" s="67"/>
      <c r="B16" s="66"/>
      <c r="C16" s="66"/>
      <c r="D16" s="66"/>
      <c r="E16" s="66"/>
      <c r="F16" s="68"/>
      <c r="H16" s="102"/>
      <c r="I16" s="65"/>
      <c r="J16" s="65"/>
      <c r="K16" s="65"/>
      <c r="L16" s="65"/>
      <c r="M16" s="103"/>
      <c r="O16" s="50"/>
      <c r="P16" s="47"/>
      <c r="Q16" s="47"/>
      <c r="R16" s="47"/>
      <c r="S16" s="47"/>
      <c r="T16" s="47"/>
      <c r="U16" s="47"/>
      <c r="V16" s="51"/>
    </row>
    <row r="17" spans="1:22" ht="15" customHeight="1" x14ac:dyDescent="0.25">
      <c r="A17" s="67"/>
      <c r="B17" s="66"/>
      <c r="C17" s="66"/>
      <c r="D17" s="66"/>
      <c r="E17" s="66"/>
      <c r="F17" s="68"/>
      <c r="H17" s="102"/>
      <c r="I17" s="65"/>
      <c r="J17" s="65"/>
      <c r="K17" s="65"/>
      <c r="L17" s="65"/>
      <c r="M17" s="103"/>
      <c r="O17" s="50"/>
      <c r="P17" s="47"/>
      <c r="Q17" s="47"/>
      <c r="R17" s="47"/>
      <c r="S17" s="47"/>
      <c r="T17" s="47"/>
      <c r="U17" s="47"/>
      <c r="V17" s="51"/>
    </row>
    <row r="18" spans="1:22" ht="15" customHeight="1" thickBot="1" x14ac:dyDescent="0.3">
      <c r="A18" s="69"/>
      <c r="B18" s="70"/>
      <c r="C18" s="70"/>
      <c r="D18" s="70"/>
      <c r="E18" s="70"/>
      <c r="F18" s="71"/>
      <c r="H18" s="104"/>
      <c r="I18" s="105"/>
      <c r="J18" s="105"/>
      <c r="K18" s="105"/>
      <c r="L18" s="105"/>
      <c r="M18" s="106"/>
      <c r="O18" s="52"/>
      <c r="P18" s="53"/>
      <c r="Q18" s="53"/>
      <c r="R18" s="53"/>
      <c r="S18" s="53"/>
      <c r="T18" s="53"/>
      <c r="U18" s="53"/>
      <c r="V18" s="54"/>
    </row>
    <row r="19" spans="1:22" ht="15" customHeight="1" thickBot="1" x14ac:dyDescent="0.3"/>
    <row r="20" spans="1:22" ht="21.95" customHeight="1" thickBot="1" x14ac:dyDescent="0.3">
      <c r="A20" s="93" t="s">
        <v>119</v>
      </c>
      <c r="B20" s="94"/>
      <c r="C20" s="94"/>
      <c r="D20" s="94"/>
      <c r="E20" s="94"/>
      <c r="F20" s="94"/>
      <c r="G20" s="94"/>
      <c r="H20" s="94"/>
      <c r="I20" s="94"/>
      <c r="J20" s="95"/>
      <c r="L20" s="55" t="s">
        <v>121</v>
      </c>
      <c r="M20" s="56"/>
      <c r="N20" s="56"/>
      <c r="O20" s="56"/>
      <c r="P20" s="56"/>
      <c r="Q20" s="56"/>
      <c r="R20" s="56"/>
      <c r="S20" s="56"/>
      <c r="T20" s="56"/>
      <c r="U20" s="56"/>
      <c r="V20" s="57"/>
    </row>
    <row r="21" spans="1:22" ht="15" customHeight="1" x14ac:dyDescent="0.25">
      <c r="A21" s="72" t="s">
        <v>120</v>
      </c>
      <c r="B21" s="14"/>
      <c r="C21" s="14"/>
      <c r="D21" s="14"/>
      <c r="E21" s="14"/>
      <c r="F21" s="14"/>
      <c r="G21" s="14"/>
      <c r="H21" s="14"/>
      <c r="I21" s="14"/>
      <c r="J21" s="73"/>
      <c r="L21" s="58" t="s">
        <v>122</v>
      </c>
      <c r="M21" s="16"/>
      <c r="N21" s="16"/>
      <c r="O21" s="16"/>
      <c r="P21" s="16"/>
      <c r="Q21" s="16"/>
      <c r="R21" s="16"/>
      <c r="S21" s="16"/>
      <c r="T21" s="16"/>
      <c r="U21" s="16"/>
      <c r="V21" s="59"/>
    </row>
    <row r="22" spans="1:22" ht="15" customHeight="1" x14ac:dyDescent="0.25">
      <c r="A22" s="72"/>
      <c r="B22" s="14"/>
      <c r="C22" s="14"/>
      <c r="D22" s="14"/>
      <c r="E22" s="14"/>
      <c r="F22" s="14"/>
      <c r="G22" s="14"/>
      <c r="H22" s="14"/>
      <c r="I22" s="14"/>
      <c r="J22" s="73"/>
      <c r="L22" s="60"/>
      <c r="M22" s="15"/>
      <c r="N22" s="15"/>
      <c r="O22" s="15"/>
      <c r="P22" s="15"/>
      <c r="Q22" s="15"/>
      <c r="R22" s="15"/>
      <c r="S22" s="15"/>
      <c r="T22" s="15"/>
      <c r="U22" s="15"/>
      <c r="V22" s="61"/>
    </row>
    <row r="23" spans="1:22" ht="15" customHeight="1" x14ac:dyDescent="0.25">
      <c r="A23" s="72"/>
      <c r="B23" s="14"/>
      <c r="C23" s="14"/>
      <c r="D23" s="14"/>
      <c r="E23" s="14"/>
      <c r="F23" s="14"/>
      <c r="G23" s="14"/>
      <c r="H23" s="14"/>
      <c r="I23" s="14"/>
      <c r="J23" s="73"/>
      <c r="L23" s="60"/>
      <c r="M23" s="15"/>
      <c r="N23" s="15"/>
      <c r="O23" s="15"/>
      <c r="P23" s="15"/>
      <c r="Q23" s="15"/>
      <c r="R23" s="15"/>
      <c r="S23" s="15"/>
      <c r="T23" s="15"/>
      <c r="U23" s="15"/>
      <c r="V23" s="61"/>
    </row>
    <row r="24" spans="1:22" ht="15" customHeight="1" x14ac:dyDescent="0.25">
      <c r="A24" s="72"/>
      <c r="B24" s="14"/>
      <c r="C24" s="14"/>
      <c r="D24" s="14"/>
      <c r="E24" s="14"/>
      <c r="F24" s="14"/>
      <c r="G24" s="14"/>
      <c r="H24" s="14"/>
      <c r="I24" s="14"/>
      <c r="J24" s="73"/>
      <c r="L24" s="60"/>
      <c r="M24" s="15"/>
      <c r="N24" s="15"/>
      <c r="O24" s="15"/>
      <c r="P24" s="15"/>
      <c r="Q24" s="15"/>
      <c r="R24" s="15"/>
      <c r="S24" s="15"/>
      <c r="T24" s="15"/>
      <c r="U24" s="15"/>
      <c r="V24" s="61"/>
    </row>
    <row r="25" spans="1:22" ht="15" customHeight="1" x14ac:dyDescent="0.25">
      <c r="A25" s="72"/>
      <c r="B25" s="14"/>
      <c r="C25" s="14"/>
      <c r="D25" s="14"/>
      <c r="E25" s="14"/>
      <c r="F25" s="14"/>
      <c r="G25" s="14"/>
      <c r="H25" s="14"/>
      <c r="I25" s="14"/>
      <c r="J25" s="73"/>
      <c r="L25" s="60"/>
      <c r="M25" s="15"/>
      <c r="N25" s="15"/>
      <c r="O25" s="15"/>
      <c r="P25" s="15"/>
      <c r="Q25" s="15"/>
      <c r="R25" s="15"/>
      <c r="S25" s="15"/>
      <c r="T25" s="15"/>
      <c r="U25" s="15"/>
      <c r="V25" s="61"/>
    </row>
    <row r="26" spans="1:22" ht="15" customHeight="1" thickBot="1" x14ac:dyDescent="0.3">
      <c r="A26" s="74"/>
      <c r="B26" s="75"/>
      <c r="C26" s="75"/>
      <c r="D26" s="75"/>
      <c r="E26" s="75"/>
      <c r="F26" s="75"/>
      <c r="G26" s="75"/>
      <c r="H26" s="75"/>
      <c r="I26" s="75"/>
      <c r="J26" s="76"/>
      <c r="L26" s="62"/>
      <c r="M26" s="63"/>
      <c r="N26" s="63"/>
      <c r="O26" s="63"/>
      <c r="P26" s="63"/>
      <c r="Q26" s="63"/>
      <c r="R26" s="63"/>
      <c r="S26" s="63"/>
      <c r="T26" s="63"/>
      <c r="U26" s="63"/>
      <c r="V26" s="64"/>
    </row>
    <row r="27" spans="1:22" ht="15" customHeight="1" thickBot="1" x14ac:dyDescent="0.3"/>
    <row r="28" spans="1:22" ht="21.95" customHeight="1" thickBot="1" x14ac:dyDescent="0.3">
      <c r="A28" s="90" t="s">
        <v>124</v>
      </c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2"/>
    </row>
    <row r="29" spans="1:22" ht="15" customHeight="1" x14ac:dyDescent="0.25">
      <c r="A29" s="77" t="s">
        <v>125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78"/>
    </row>
    <row r="30" spans="1:22" x14ac:dyDescent="0.25">
      <c r="A30" s="77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78"/>
    </row>
    <row r="31" spans="1:22" x14ac:dyDescent="0.25">
      <c r="A31" s="77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78"/>
    </row>
    <row r="32" spans="1:22" x14ac:dyDescent="0.25">
      <c r="A32" s="77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78"/>
    </row>
    <row r="33" spans="1:22" x14ac:dyDescent="0.25">
      <c r="A33" s="77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78"/>
    </row>
    <row r="34" spans="1:22" x14ac:dyDescent="0.25">
      <c r="A34" s="77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78"/>
    </row>
    <row r="35" spans="1:22" ht="15.75" thickBot="1" x14ac:dyDescent="0.3">
      <c r="A35" s="79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1"/>
    </row>
    <row r="36" spans="1:22" ht="15.75" thickBot="1" x14ac:dyDescent="0.3"/>
    <row r="37" spans="1:22" ht="21.95" customHeight="1" thickBot="1" x14ac:dyDescent="0.3">
      <c r="A37" s="87" t="s">
        <v>126</v>
      </c>
      <c r="B37" s="88"/>
      <c r="C37" s="88"/>
      <c r="D37" s="88"/>
      <c r="E37" s="88"/>
      <c r="F37" s="88"/>
      <c r="G37" s="88"/>
      <c r="H37" s="88"/>
      <c r="I37" s="88"/>
      <c r="J37" s="89"/>
      <c r="L37" s="45" t="s">
        <v>128</v>
      </c>
      <c r="M37" s="45"/>
      <c r="N37" s="45"/>
      <c r="O37" s="45"/>
      <c r="P37" s="45"/>
      <c r="Q37" s="45"/>
      <c r="R37" s="45"/>
      <c r="S37" s="45"/>
      <c r="T37" s="45"/>
      <c r="U37" s="45"/>
      <c r="V37" s="45"/>
    </row>
    <row r="38" spans="1:22" x14ac:dyDescent="0.25">
      <c r="A38" s="82" t="s">
        <v>127</v>
      </c>
      <c r="B38" s="17"/>
      <c r="C38" s="17"/>
      <c r="D38" s="17"/>
      <c r="E38" s="17"/>
      <c r="F38" s="17"/>
      <c r="G38" s="17"/>
      <c r="H38" s="17"/>
      <c r="I38" s="17"/>
      <c r="J38" s="83"/>
      <c r="L38" s="21" t="s">
        <v>129</v>
      </c>
      <c r="M38" s="20"/>
      <c r="N38" s="20"/>
      <c r="O38" s="20"/>
      <c r="P38" s="20"/>
      <c r="Q38" s="20"/>
      <c r="R38" s="20"/>
      <c r="S38" s="20"/>
      <c r="T38" s="20"/>
      <c r="U38" s="20"/>
      <c r="V38" s="24"/>
    </row>
    <row r="39" spans="1:22" x14ac:dyDescent="0.25">
      <c r="A39" s="82"/>
      <c r="B39" s="17"/>
      <c r="C39" s="17"/>
      <c r="D39" s="17"/>
      <c r="E39" s="17"/>
      <c r="F39" s="17"/>
      <c r="G39" s="17"/>
      <c r="H39" s="17"/>
      <c r="I39" s="17"/>
      <c r="J39" s="83"/>
      <c r="L39" s="22"/>
      <c r="M39" s="18"/>
      <c r="N39" s="18"/>
      <c r="O39" s="18"/>
      <c r="P39" s="18"/>
      <c r="Q39" s="18"/>
      <c r="R39" s="18"/>
      <c r="S39" s="18"/>
      <c r="T39" s="18"/>
      <c r="U39" s="18"/>
      <c r="V39" s="25"/>
    </row>
    <row r="40" spans="1:22" x14ac:dyDescent="0.25">
      <c r="A40" s="82"/>
      <c r="B40" s="17"/>
      <c r="C40" s="17"/>
      <c r="D40" s="17"/>
      <c r="E40" s="17"/>
      <c r="F40" s="17"/>
      <c r="G40" s="17"/>
      <c r="H40" s="17"/>
      <c r="I40" s="17"/>
      <c r="J40" s="83"/>
      <c r="L40" s="22"/>
      <c r="M40" s="18"/>
      <c r="N40" s="18"/>
      <c r="O40" s="18"/>
      <c r="P40" s="18"/>
      <c r="Q40" s="18"/>
      <c r="R40" s="18"/>
      <c r="S40" s="18"/>
      <c r="T40" s="18"/>
      <c r="U40" s="18"/>
      <c r="V40" s="25"/>
    </row>
    <row r="41" spans="1:22" x14ac:dyDescent="0.25">
      <c r="A41" s="82"/>
      <c r="B41" s="17"/>
      <c r="C41" s="17"/>
      <c r="D41" s="17"/>
      <c r="E41" s="17"/>
      <c r="F41" s="17"/>
      <c r="G41" s="17"/>
      <c r="H41" s="17"/>
      <c r="I41" s="17"/>
      <c r="J41" s="83"/>
      <c r="L41" s="22"/>
      <c r="M41" s="18"/>
      <c r="N41" s="18"/>
      <c r="O41" s="18"/>
      <c r="P41" s="18"/>
      <c r="Q41" s="18"/>
      <c r="R41" s="18"/>
      <c r="S41" s="18"/>
      <c r="T41" s="18"/>
      <c r="U41" s="18"/>
      <c r="V41" s="25"/>
    </row>
    <row r="42" spans="1:22" x14ac:dyDescent="0.25">
      <c r="A42" s="82"/>
      <c r="B42" s="17"/>
      <c r="C42" s="17"/>
      <c r="D42" s="17"/>
      <c r="E42" s="17"/>
      <c r="F42" s="17"/>
      <c r="G42" s="17"/>
      <c r="H42" s="17"/>
      <c r="I42" s="17"/>
      <c r="J42" s="83"/>
      <c r="L42" s="22"/>
      <c r="M42" s="18"/>
      <c r="N42" s="18"/>
      <c r="O42" s="18"/>
      <c r="P42" s="18"/>
      <c r="Q42" s="18"/>
      <c r="R42" s="18"/>
      <c r="S42" s="18"/>
      <c r="T42" s="18"/>
      <c r="U42" s="18"/>
      <c r="V42" s="25"/>
    </row>
    <row r="43" spans="1:22" ht="15.75" thickBot="1" x14ac:dyDescent="0.3">
      <c r="A43" s="84"/>
      <c r="B43" s="85"/>
      <c r="C43" s="85"/>
      <c r="D43" s="85"/>
      <c r="E43" s="85"/>
      <c r="F43" s="85"/>
      <c r="G43" s="85"/>
      <c r="H43" s="85"/>
      <c r="I43" s="85"/>
      <c r="J43" s="86"/>
      <c r="L43" s="23"/>
      <c r="M43" s="19"/>
      <c r="N43" s="19"/>
      <c r="O43" s="19"/>
      <c r="P43" s="19"/>
      <c r="Q43" s="19"/>
      <c r="R43" s="19"/>
      <c r="S43" s="19"/>
      <c r="T43" s="19"/>
      <c r="U43" s="19"/>
      <c r="V43" s="26"/>
    </row>
  </sheetData>
  <mergeCells count="18">
    <mergeCell ref="O10:V10"/>
    <mergeCell ref="H10:M10"/>
    <mergeCell ref="A10:F10"/>
    <mergeCell ref="A29:V35"/>
    <mergeCell ref="A37:J37"/>
    <mergeCell ref="A38:J43"/>
    <mergeCell ref="L37:V37"/>
    <mergeCell ref="L38:V43"/>
    <mergeCell ref="O11:V18"/>
    <mergeCell ref="H11:M18"/>
    <mergeCell ref="A11:F18"/>
    <mergeCell ref="A20:J20"/>
    <mergeCell ref="A21:J26"/>
    <mergeCell ref="L20:V20"/>
    <mergeCell ref="L21:V26"/>
    <mergeCell ref="A8:V8"/>
    <mergeCell ref="A28:V28"/>
    <mergeCell ref="A7:V7"/>
  </mergeCells>
  <conditionalFormatting sqref="A2:V5">
    <cfRule type="expression" dxfId="36" priority="1">
      <formula>$L2="Gespräch eingeladen"</formula>
    </cfRule>
  </conditionalFormatting>
  <conditionalFormatting sqref="A2:V5">
    <cfRule type="expression" dxfId="35" priority="2">
      <formula>$L2="Zusage"</formula>
    </cfRule>
  </conditionalFormatting>
  <conditionalFormatting sqref="A2:V5">
    <cfRule type="expression" dxfId="34" priority="3">
      <formula>$L2="Absage"</formula>
    </cfRule>
  </conditionalFormatting>
  <conditionalFormatting sqref="A2:V5">
    <cfRule type="expression" dxfId="33" priority="4">
      <formula>$L2="Rückmeldung ausstehend"</formula>
    </cfRule>
  </conditionalFormatting>
  <conditionalFormatting sqref="A2:V5">
    <cfRule type="expression" dxfId="32" priority="5">
      <formula>$L2="Bewerbung versendet"</formula>
    </cfRule>
  </conditionalFormatting>
  <conditionalFormatting sqref="A2:V5">
    <cfRule type="expression" dxfId="31" priority="6">
      <formula>$L2="Gespräch absolviert"</formula>
    </cfRule>
  </conditionalFormatting>
  <conditionalFormatting sqref="A2:V5">
    <cfRule type="expression" dxfId="30" priority="7">
      <formula>$L2="Eingangsbestätigung"</formula>
    </cfRule>
  </conditionalFormatting>
  <conditionalFormatting sqref="A2:V5">
    <cfRule type="expression" dxfId="29" priority="8">
      <formula>$T2="Zusage angenommen"</formula>
    </cfRule>
  </conditionalFormatting>
  <conditionalFormatting sqref="A2:V5">
    <cfRule type="expression" dxfId="28" priority="9">
      <formula>$T2="Zusage abgelehnt"</formula>
    </cfRule>
  </conditionalFormatting>
  <conditionalFormatting sqref="A2:V5">
    <cfRule type="expression" dxfId="27" priority="10">
      <formula>$T2="Absage erhalten"</formula>
    </cfRule>
  </conditionalFormatting>
  <conditionalFormatting sqref="A2:V5">
    <cfRule type="expression" dxfId="26" priority="11">
      <formula>$T2="Zurückgezogen"</formula>
    </cfRule>
  </conditionalFormatting>
  <conditionalFormatting sqref="A2:V5">
    <cfRule type="expression" dxfId="25" priority="12">
      <formula>$T2="Absage"</formula>
    </cfRule>
  </conditionalFormatting>
  <pageMargins left="0.75" right="0.75" top="1" bottom="1" header="0.5" footer="0.5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C7AD8615-8762-4B0A-B143-101483A29B11}">
          <x14:formula1>
            <xm:f>Hilfstabellen!$A$2:$A$6</xm:f>
          </x14:formula1>
          <xm:sqref>K2:K5</xm:sqref>
        </x14:dataValidation>
        <x14:dataValidation type="list" allowBlank="1" showInputMessage="1" showErrorMessage="1" xr:uid="{8B04C998-AD66-4794-B81F-96BA04BADCBE}">
          <x14:formula1>
            <xm:f>Hilfstabellen!$C$2:$C$7</xm:f>
          </x14:formula1>
          <xm:sqref>I2:I5</xm:sqref>
        </x14:dataValidation>
        <x14:dataValidation type="list" allowBlank="1" showInputMessage="1" showErrorMessage="1" xr:uid="{BDB3BB39-94FC-471B-9DB5-BFE160553C5A}">
          <x14:formula1>
            <xm:f>Hilfstabellen!$E$2:$E$8</xm:f>
          </x14:formula1>
          <xm:sqref>L2:L5</xm:sqref>
        </x14:dataValidation>
        <x14:dataValidation type="list" allowBlank="1" showInputMessage="1" showErrorMessage="1" xr:uid="{395E69CB-83B8-44C5-A7CE-92AA92F39092}">
          <x14:formula1>
            <xm:f>Hilfstabellen!$G$2:$G$5</xm:f>
          </x14:formula1>
          <xm:sqref>O2:O5</xm:sqref>
        </x14:dataValidation>
        <x14:dataValidation type="list" allowBlank="1" showInputMessage="1" showErrorMessage="1" xr:uid="{D9AC098A-D4D6-4AA4-8462-8D230E4D2B56}">
          <x14:formula1>
            <xm:f>Hilfstabellen!$I$2:$I$4</xm:f>
          </x14:formula1>
          <xm:sqref>S2:S5</xm:sqref>
        </x14:dataValidation>
        <x14:dataValidation type="list" allowBlank="1" showInputMessage="1" showErrorMessage="1" xr:uid="{F2F55F3C-9EDE-462A-92EA-FF0A95EAFC39}">
          <x14:formula1>
            <xm:f>Hilfstabellen!$K$2:$K$5</xm:f>
          </x14:formula1>
          <xm:sqref>T2:T5</xm:sqref>
        </x14:dataValidation>
        <x14:dataValidation type="list" allowBlank="1" showInputMessage="1" showErrorMessage="1" xr:uid="{F18F8FC2-8C15-4E53-AE0D-E8D06DD69087}">
          <x14:formula1>
            <xm:f>Hilfstabellen!$M$2:$M$10</xm:f>
          </x14:formula1>
          <xm:sqref>H2:H5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/>
  <dimension ref="A1:V20"/>
  <sheetViews>
    <sheetView tabSelected="1" workbookViewId="0">
      <selection activeCell="L10" sqref="L10"/>
    </sheetView>
  </sheetViews>
  <sheetFormatPr baseColWidth="10" defaultColWidth="9.140625" defaultRowHeight="15" outlineLevelCol="1" x14ac:dyDescent="0.25"/>
  <cols>
    <col min="1" max="1" width="16.85546875" bestFit="1" customWidth="1"/>
    <col min="2" max="2" width="24.85546875" customWidth="1"/>
    <col min="3" max="3" width="12.5703125" hidden="1" customWidth="1" outlineLevel="1"/>
    <col min="4" max="4" width="30.5703125" hidden="1" customWidth="1" outlineLevel="1"/>
    <col min="5" max="5" width="19" hidden="1" customWidth="1" outlineLevel="1"/>
    <col min="6" max="6" width="18.140625" hidden="1" customWidth="1" outlineLevel="1"/>
    <col min="7" max="7" width="27.85546875" hidden="1" customWidth="1" outlineLevel="1"/>
    <col min="8" max="8" width="21.7109375" customWidth="1" collapsed="1"/>
    <col min="9" max="9" width="20.140625" bestFit="1" customWidth="1"/>
    <col min="10" max="10" width="23.28515625" style="2" bestFit="1" customWidth="1"/>
    <col min="11" max="11" width="24.42578125" bestFit="1" customWidth="1"/>
    <col min="12" max="12" width="26.42578125" customWidth="1"/>
    <col min="13" max="13" width="15.28515625" style="2" bestFit="1" customWidth="1"/>
    <col min="14" max="14" width="25.28515625" style="2" bestFit="1" customWidth="1"/>
    <col min="15" max="15" width="26" bestFit="1" customWidth="1"/>
    <col min="16" max="16" width="24" bestFit="1" customWidth="1"/>
    <col min="17" max="17" width="28.42578125" bestFit="1" customWidth="1"/>
    <col min="18" max="18" width="19.7109375" style="2" bestFit="1" customWidth="1"/>
    <col min="19" max="19" width="10.5703125" bestFit="1" customWidth="1"/>
    <col min="20" max="20" width="20.140625" customWidth="1"/>
    <col min="21" max="21" width="36.7109375" style="27" customWidth="1"/>
    <col min="22" max="22" width="18.85546875" hidden="1" customWidth="1"/>
  </cols>
  <sheetData>
    <row r="1" spans="1:22" s="1" customFormat="1" ht="31.5" customHeight="1" x14ac:dyDescent="0.25">
      <c r="A1" s="33" t="s">
        <v>58</v>
      </c>
      <c r="B1" s="34" t="s">
        <v>131</v>
      </c>
      <c r="C1" s="34" t="s">
        <v>1</v>
      </c>
      <c r="D1" s="34" t="s">
        <v>132</v>
      </c>
      <c r="E1" s="34" t="s">
        <v>2</v>
      </c>
      <c r="F1" s="34" t="s">
        <v>3</v>
      </c>
      <c r="G1" s="34" t="s">
        <v>4</v>
      </c>
      <c r="H1" s="34" t="s">
        <v>5</v>
      </c>
      <c r="I1" s="34" t="s">
        <v>6</v>
      </c>
      <c r="J1" s="35" t="s">
        <v>133</v>
      </c>
      <c r="K1" s="34" t="s">
        <v>7</v>
      </c>
      <c r="L1" s="34" t="s">
        <v>134</v>
      </c>
      <c r="M1" s="35" t="s">
        <v>9</v>
      </c>
      <c r="N1" s="35" t="s">
        <v>10</v>
      </c>
      <c r="O1" s="34" t="s">
        <v>11</v>
      </c>
      <c r="P1" s="34" t="s">
        <v>12</v>
      </c>
      <c r="Q1" s="34" t="s">
        <v>13</v>
      </c>
      <c r="R1" s="36" t="s">
        <v>57</v>
      </c>
      <c r="S1" s="34" t="s">
        <v>15</v>
      </c>
      <c r="T1" s="34" t="s">
        <v>16</v>
      </c>
      <c r="U1" s="33" t="s">
        <v>17</v>
      </c>
      <c r="V1" s="37" t="s">
        <v>18</v>
      </c>
    </row>
    <row r="2" spans="1:22" ht="30" x14ac:dyDescent="0.25">
      <c r="A2" s="8" t="str">
        <f t="shared" ref="A2:A20" si="0">IF(B2="","","BEW-"&amp;YEAR(J2)&amp;"-"&amp;TEXT(ROW()-1,"000"))</f>
        <v>BEW-2026-001</v>
      </c>
      <c r="B2" s="9" t="s">
        <v>75</v>
      </c>
      <c r="C2" s="9" t="s">
        <v>76</v>
      </c>
      <c r="D2" s="9" t="s">
        <v>77</v>
      </c>
      <c r="E2" s="9" t="s">
        <v>78</v>
      </c>
      <c r="F2" s="9" t="s">
        <v>79</v>
      </c>
      <c r="G2" s="9" t="s">
        <v>80</v>
      </c>
      <c r="H2" s="9" t="s">
        <v>70</v>
      </c>
      <c r="I2" s="9" t="s">
        <v>35</v>
      </c>
      <c r="J2" s="10">
        <v>46165</v>
      </c>
      <c r="K2" s="9" t="s">
        <v>36</v>
      </c>
      <c r="L2" s="9" t="s">
        <v>37</v>
      </c>
      <c r="M2" s="10">
        <v>46172</v>
      </c>
      <c r="N2" s="10">
        <v>46172</v>
      </c>
      <c r="O2" s="9" t="s">
        <v>25</v>
      </c>
      <c r="P2" s="9" t="s">
        <v>81</v>
      </c>
      <c r="Q2" s="9" t="s">
        <v>38</v>
      </c>
      <c r="R2" s="11" t="str">
        <f>IF(OR(L2="Bewerbung versendet",L2="Eingangsbestätigung",L2="Rückmeldung ausstehend"),M2+14,"")</f>
        <v/>
      </c>
      <c r="S2" s="9" t="s">
        <v>30</v>
      </c>
      <c r="T2" s="9"/>
      <c r="U2" s="8" t="s">
        <v>82</v>
      </c>
      <c r="V2" s="6" t="str">
        <f t="shared" ref="V2:V20" ca="1" si="1">IF(AND(R2&lt;&gt;"",R2&lt;=TODAY(),T2=""),"ja","")</f>
        <v/>
      </c>
    </row>
    <row r="3" spans="1:22" ht="30" x14ac:dyDescent="0.25">
      <c r="A3" s="8" t="str">
        <f t="shared" si="0"/>
        <v>BEW-2026-002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88</v>
      </c>
      <c r="H3" s="9" t="s">
        <v>34</v>
      </c>
      <c r="I3" s="9" t="s">
        <v>25</v>
      </c>
      <c r="J3" s="10">
        <v>46171</v>
      </c>
      <c r="K3" s="9" t="s">
        <v>26</v>
      </c>
      <c r="L3" s="9" t="s">
        <v>51</v>
      </c>
      <c r="M3" s="10">
        <v>46171</v>
      </c>
      <c r="N3" s="10">
        <v>46186</v>
      </c>
      <c r="O3" s="9" t="s">
        <v>53</v>
      </c>
      <c r="P3" s="9" t="s">
        <v>95</v>
      </c>
      <c r="Q3" s="9" t="s">
        <v>89</v>
      </c>
      <c r="R3" s="11">
        <f>IF(OR(L3="Bewerbung versendet",L3="Eingangsbestätigung",L3="Rückmeldung ausstehend"),M3+14,"")</f>
        <v>46185</v>
      </c>
      <c r="S3" s="9" t="s">
        <v>30</v>
      </c>
      <c r="T3" s="9"/>
      <c r="U3" s="8" t="s">
        <v>90</v>
      </c>
      <c r="V3" s="6" t="str">
        <f t="shared" ca="1" si="1"/>
        <v>ja</v>
      </c>
    </row>
    <row r="4" spans="1:22" ht="30" x14ac:dyDescent="0.25">
      <c r="A4" s="8" t="str">
        <f t="shared" si="0"/>
        <v>BEW-2026-003</v>
      </c>
      <c r="B4" s="9" t="s">
        <v>91</v>
      </c>
      <c r="C4" s="9" t="s">
        <v>19</v>
      </c>
      <c r="D4" s="9" t="s">
        <v>92</v>
      </c>
      <c r="E4" s="9" t="s">
        <v>130</v>
      </c>
      <c r="F4" s="9" t="s">
        <v>93</v>
      </c>
      <c r="G4" s="9" t="s">
        <v>94</v>
      </c>
      <c r="H4" s="9" t="s">
        <v>61</v>
      </c>
      <c r="I4" s="9" t="s">
        <v>61</v>
      </c>
      <c r="J4" s="10">
        <v>46150</v>
      </c>
      <c r="K4" s="9" t="s">
        <v>26</v>
      </c>
      <c r="L4" s="9" t="s">
        <v>50</v>
      </c>
      <c r="M4" s="10">
        <v>46150</v>
      </c>
      <c r="N4" s="10">
        <v>46160</v>
      </c>
      <c r="O4" s="9" t="s">
        <v>52</v>
      </c>
      <c r="P4" s="9" t="s">
        <v>95</v>
      </c>
      <c r="Q4" s="9" t="s">
        <v>96</v>
      </c>
      <c r="R4" s="11">
        <f>IF(OR(L4="Bewerbung versendet",L4="Eingangsbestätigung",L4="Rückmeldung ausstehend"),M4+14,"")</f>
        <v>46164</v>
      </c>
      <c r="S4" s="9" t="s">
        <v>39</v>
      </c>
      <c r="T4" s="9"/>
      <c r="U4" s="8" t="s">
        <v>97</v>
      </c>
      <c r="V4" s="6" t="str">
        <f t="shared" ca="1" si="1"/>
        <v>ja</v>
      </c>
    </row>
    <row r="5" spans="1:22" ht="30" x14ac:dyDescent="0.25">
      <c r="A5" s="8" t="str">
        <f t="shared" si="0"/>
        <v>BEW-2026-004</v>
      </c>
      <c r="B5" s="9" t="s">
        <v>98</v>
      </c>
      <c r="C5" s="9" t="s">
        <v>99</v>
      </c>
      <c r="D5" s="9" t="s">
        <v>100</v>
      </c>
      <c r="E5" s="9" t="s">
        <v>101</v>
      </c>
      <c r="F5" s="9" t="s">
        <v>102</v>
      </c>
      <c r="G5" s="9"/>
      <c r="H5" s="9" t="s">
        <v>69</v>
      </c>
      <c r="I5" s="9" t="s">
        <v>35</v>
      </c>
      <c r="J5" s="10">
        <v>46140</v>
      </c>
      <c r="K5" s="9" t="s">
        <v>36</v>
      </c>
      <c r="L5" s="9" t="s">
        <v>44</v>
      </c>
      <c r="M5" s="10">
        <v>46155</v>
      </c>
      <c r="N5" s="10"/>
      <c r="O5" s="9"/>
      <c r="P5" s="9"/>
      <c r="Q5" s="9"/>
      <c r="R5" s="11" t="str">
        <f>IF(OR(L5="Bewerbung versendet",L5="Eingangsbestätigung",L5="Rückmeldung ausstehend"),M5+14,"")</f>
        <v/>
      </c>
      <c r="S5" s="9" t="s">
        <v>39</v>
      </c>
      <c r="T5" s="9" t="s">
        <v>67</v>
      </c>
      <c r="U5" s="8" t="s">
        <v>103</v>
      </c>
      <c r="V5" s="6" t="str">
        <f t="shared" ca="1" si="1"/>
        <v/>
      </c>
    </row>
    <row r="6" spans="1:22" ht="30" x14ac:dyDescent="0.25">
      <c r="A6" s="8" t="str">
        <f t="shared" si="0"/>
        <v>BEW-2026-005</v>
      </c>
      <c r="B6" s="9" t="s">
        <v>104</v>
      </c>
      <c r="C6" s="9" t="s">
        <v>31</v>
      </c>
      <c r="D6" s="9" t="s">
        <v>105</v>
      </c>
      <c r="E6" s="9" t="s">
        <v>106</v>
      </c>
      <c r="F6" s="9" t="s">
        <v>107</v>
      </c>
      <c r="G6" s="9" t="s">
        <v>108</v>
      </c>
      <c r="H6" s="9" t="s">
        <v>73</v>
      </c>
      <c r="I6" s="9" t="s">
        <v>62</v>
      </c>
      <c r="J6" s="10">
        <v>46130</v>
      </c>
      <c r="K6" s="9" t="s">
        <v>43</v>
      </c>
      <c r="L6" s="9" t="s">
        <v>63</v>
      </c>
      <c r="M6" s="10">
        <v>46165</v>
      </c>
      <c r="N6" s="10">
        <v>46165</v>
      </c>
      <c r="O6" s="9" t="s">
        <v>52</v>
      </c>
      <c r="P6" s="9" t="s">
        <v>109</v>
      </c>
      <c r="Q6" s="9" t="s">
        <v>110</v>
      </c>
      <c r="R6" s="11" t="str">
        <f>IF(OR(L6="Bewerbung versendet",L6="Eingangsbestätigung",L6="Rückmeldung ausstehend"),M6+14,"")</f>
        <v/>
      </c>
      <c r="S6" s="9" t="s">
        <v>30</v>
      </c>
      <c r="T6" s="9" t="s">
        <v>65</v>
      </c>
      <c r="U6" s="8" t="s">
        <v>111</v>
      </c>
      <c r="V6" s="6" t="str">
        <f t="shared" ca="1" si="1"/>
        <v/>
      </c>
    </row>
    <row r="7" spans="1:22" x14ac:dyDescent="0.25">
      <c r="A7" s="6" t="str">
        <f t="shared" si="0"/>
        <v/>
      </c>
      <c r="B7" s="6"/>
      <c r="C7" s="6"/>
      <c r="D7" s="6"/>
      <c r="E7" s="6"/>
      <c r="F7" s="6"/>
      <c r="G7" s="6"/>
      <c r="H7" s="6"/>
      <c r="I7" s="6"/>
      <c r="J7" s="7"/>
      <c r="K7" s="6"/>
      <c r="L7" s="6"/>
      <c r="M7" s="7"/>
      <c r="N7" s="7"/>
      <c r="O7" s="6"/>
      <c r="P7" s="6"/>
      <c r="Q7" s="6"/>
      <c r="R7" s="7" t="str">
        <f>IF(OR(L7="Bewerbung versendet",L7="Eingangsbestätigung",L7="Rückmeldung ausstehend"),M7+14,"")</f>
        <v/>
      </c>
      <c r="S7" s="6"/>
      <c r="T7" s="6"/>
      <c r="U7" s="12"/>
      <c r="V7" s="6" t="str">
        <f t="shared" ca="1" si="1"/>
        <v/>
      </c>
    </row>
    <row r="8" spans="1:22" x14ac:dyDescent="0.25">
      <c r="A8" s="6" t="str">
        <f t="shared" si="0"/>
        <v/>
      </c>
      <c r="B8" s="6"/>
      <c r="C8" s="6"/>
      <c r="D8" s="6"/>
      <c r="E8" s="6"/>
      <c r="F8" s="6"/>
      <c r="G8" s="6"/>
      <c r="H8" s="6"/>
      <c r="I8" s="6"/>
      <c r="J8" s="7"/>
      <c r="K8" s="6"/>
      <c r="L8" s="6"/>
      <c r="M8" s="7"/>
      <c r="N8" s="7"/>
      <c r="O8" s="6"/>
      <c r="P8" s="6"/>
      <c r="Q8" s="6"/>
      <c r="R8" s="7" t="str">
        <f>IF(OR(L8="Bewerbung versendet",L8="Eingangsbestätigung",L8="Rückmeldung ausstehend"),M8+14,"")</f>
        <v/>
      </c>
      <c r="S8" s="6"/>
      <c r="T8" s="6"/>
      <c r="U8" s="12"/>
      <c r="V8" s="6" t="str">
        <f t="shared" ca="1" si="1"/>
        <v/>
      </c>
    </row>
    <row r="9" spans="1:22" x14ac:dyDescent="0.25">
      <c r="A9" s="6" t="str">
        <f t="shared" si="0"/>
        <v/>
      </c>
      <c r="B9" s="6"/>
      <c r="C9" s="6"/>
      <c r="D9" s="6"/>
      <c r="E9" s="6"/>
      <c r="F9" s="6"/>
      <c r="G9" s="6"/>
      <c r="H9" s="6"/>
      <c r="I9" s="6"/>
      <c r="J9" s="7"/>
      <c r="K9" s="6"/>
      <c r="L9" s="6"/>
      <c r="M9" s="7"/>
      <c r="N9" s="7"/>
      <c r="O9" s="6"/>
      <c r="P9" s="6"/>
      <c r="Q9" s="6"/>
      <c r="R9" s="7" t="str">
        <f>IF(OR(L9="Bewerbung versendet",L9="Eingangsbestätigung",L9="Rückmeldung ausstehend"),M9+14,"")</f>
        <v/>
      </c>
      <c r="S9" s="6"/>
      <c r="T9" s="6"/>
      <c r="U9" s="12"/>
      <c r="V9" s="6" t="str">
        <f t="shared" ca="1" si="1"/>
        <v/>
      </c>
    </row>
    <row r="10" spans="1:22" x14ac:dyDescent="0.25">
      <c r="A10" s="6" t="str">
        <f t="shared" si="0"/>
        <v/>
      </c>
      <c r="B10" s="6"/>
      <c r="C10" s="6"/>
      <c r="D10" s="6"/>
      <c r="E10" s="6"/>
      <c r="F10" s="6"/>
      <c r="G10" s="6"/>
      <c r="H10" s="6"/>
      <c r="I10" s="6"/>
      <c r="J10" s="7"/>
      <c r="K10" s="6"/>
      <c r="L10" s="6"/>
      <c r="M10" s="7"/>
      <c r="N10" s="7"/>
      <c r="O10" s="6"/>
      <c r="P10" s="6"/>
      <c r="Q10" s="6"/>
      <c r="R10" s="7" t="str">
        <f>IF(OR(L10="Bewerbung versendet",L10="Eingangsbestätigung",L10="Rückmeldung ausstehend"),M10+14,"")</f>
        <v/>
      </c>
      <c r="S10" s="6"/>
      <c r="T10" s="6"/>
      <c r="U10" s="12"/>
      <c r="V10" s="6" t="str">
        <f t="shared" ca="1" si="1"/>
        <v/>
      </c>
    </row>
    <row r="11" spans="1:22" x14ac:dyDescent="0.25">
      <c r="A11" s="6" t="str">
        <f t="shared" si="0"/>
        <v/>
      </c>
      <c r="B11" s="6"/>
      <c r="C11" s="6"/>
      <c r="D11" s="6"/>
      <c r="E11" s="6"/>
      <c r="F11" s="6"/>
      <c r="G11" s="6"/>
      <c r="H11" s="6"/>
      <c r="I11" s="6"/>
      <c r="J11" s="7"/>
      <c r="K11" s="6"/>
      <c r="L11" s="6"/>
      <c r="M11" s="7"/>
      <c r="N11" s="7"/>
      <c r="O11" s="6"/>
      <c r="P11" s="6"/>
      <c r="Q11" s="6"/>
      <c r="R11" s="7" t="str">
        <f>IF(OR(L11="Bewerbung versendet",L11="Eingangsbestätigung",L11="Rückmeldung ausstehend"),M11+14,"")</f>
        <v/>
      </c>
      <c r="S11" s="6"/>
      <c r="T11" s="6"/>
      <c r="U11" s="12"/>
      <c r="V11" s="6" t="str">
        <f t="shared" ca="1" si="1"/>
        <v/>
      </c>
    </row>
    <row r="12" spans="1:22" x14ac:dyDescent="0.25">
      <c r="A12" s="6" t="str">
        <f t="shared" si="0"/>
        <v/>
      </c>
      <c r="B12" s="6"/>
      <c r="C12" s="6"/>
      <c r="D12" s="6"/>
      <c r="E12" s="6"/>
      <c r="F12" s="6"/>
      <c r="G12" s="6"/>
      <c r="H12" s="6"/>
      <c r="I12" s="6"/>
      <c r="J12" s="7"/>
      <c r="K12" s="6"/>
      <c r="L12" s="6"/>
      <c r="M12" s="7"/>
      <c r="N12" s="7"/>
      <c r="O12" s="6"/>
      <c r="P12" s="6"/>
      <c r="Q12" s="6"/>
      <c r="R12" s="7" t="str">
        <f>IF(OR(L12="Bewerbung versendet",L12="Eingangsbestätigung",L12="Rückmeldung ausstehend"),M12+14,"")</f>
        <v/>
      </c>
      <c r="S12" s="6"/>
      <c r="T12" s="6"/>
      <c r="U12" s="12"/>
      <c r="V12" s="6" t="str">
        <f t="shared" ca="1" si="1"/>
        <v/>
      </c>
    </row>
    <row r="13" spans="1:22" x14ac:dyDescent="0.25">
      <c r="A13" s="6" t="str">
        <f t="shared" si="0"/>
        <v/>
      </c>
      <c r="B13" s="6"/>
      <c r="C13" s="6"/>
      <c r="D13" s="6"/>
      <c r="E13" s="6"/>
      <c r="F13" s="6"/>
      <c r="G13" s="6"/>
      <c r="H13" s="6"/>
      <c r="I13" s="6"/>
      <c r="J13" s="7"/>
      <c r="K13" s="6"/>
      <c r="L13" s="6"/>
      <c r="M13" s="7"/>
      <c r="N13" s="7"/>
      <c r="O13" s="6"/>
      <c r="P13" s="6"/>
      <c r="Q13" s="6"/>
      <c r="R13" s="7" t="str">
        <f>IF(OR(L13="Bewerbung versendet",L13="Eingangsbestätigung",L13="Rückmeldung ausstehend"),M13+14,"")</f>
        <v/>
      </c>
      <c r="S13" s="6"/>
      <c r="T13" s="6"/>
      <c r="U13" s="12"/>
      <c r="V13" s="6" t="str">
        <f t="shared" ca="1" si="1"/>
        <v/>
      </c>
    </row>
    <row r="14" spans="1:22" x14ac:dyDescent="0.25">
      <c r="A14" s="6" t="str">
        <f t="shared" si="0"/>
        <v/>
      </c>
      <c r="B14" s="6"/>
      <c r="C14" s="6"/>
      <c r="D14" s="6"/>
      <c r="E14" s="6"/>
      <c r="F14" s="6"/>
      <c r="G14" s="6"/>
      <c r="H14" s="6"/>
      <c r="I14" s="6"/>
      <c r="J14" s="7"/>
      <c r="K14" s="6"/>
      <c r="L14" s="6"/>
      <c r="M14" s="7"/>
      <c r="N14" s="7"/>
      <c r="O14" s="6"/>
      <c r="P14" s="6"/>
      <c r="Q14" s="6"/>
      <c r="R14" s="7" t="str">
        <f>IF(OR(L14="Bewerbung versendet",L14="Eingangsbestätigung",L14="Rückmeldung ausstehend"),M14+14,"")</f>
        <v/>
      </c>
      <c r="S14" s="6"/>
      <c r="T14" s="6"/>
      <c r="U14" s="12"/>
      <c r="V14" s="6" t="str">
        <f t="shared" ca="1" si="1"/>
        <v/>
      </c>
    </row>
    <row r="15" spans="1:22" x14ac:dyDescent="0.25">
      <c r="A15" s="6" t="str">
        <f t="shared" si="0"/>
        <v/>
      </c>
      <c r="B15" s="6"/>
      <c r="C15" s="6"/>
      <c r="D15" s="6"/>
      <c r="E15" s="6"/>
      <c r="F15" s="6"/>
      <c r="G15" s="6"/>
      <c r="H15" s="6"/>
      <c r="I15" s="6"/>
      <c r="J15" s="7"/>
      <c r="K15" s="6"/>
      <c r="L15" s="6"/>
      <c r="M15" s="7"/>
      <c r="N15" s="7"/>
      <c r="O15" s="6"/>
      <c r="P15" s="6"/>
      <c r="Q15" s="6"/>
      <c r="R15" s="7" t="str">
        <f>IF(OR(L15="Bewerbung versendet",L15="Eingangsbestätigung",L15="Rückmeldung ausstehend"),M15+14,"")</f>
        <v/>
      </c>
      <c r="S15" s="6"/>
      <c r="T15" s="6"/>
      <c r="U15" s="12"/>
      <c r="V15" s="6" t="str">
        <f t="shared" ca="1" si="1"/>
        <v/>
      </c>
    </row>
    <row r="16" spans="1:22" x14ac:dyDescent="0.25">
      <c r="A16" s="6" t="str">
        <f t="shared" si="0"/>
        <v/>
      </c>
      <c r="B16" s="6"/>
      <c r="C16" s="6"/>
      <c r="D16" s="6"/>
      <c r="E16" s="6"/>
      <c r="F16" s="6"/>
      <c r="G16" s="6"/>
      <c r="H16" s="6"/>
      <c r="I16" s="6"/>
      <c r="J16" s="7"/>
      <c r="K16" s="6"/>
      <c r="L16" s="6"/>
      <c r="M16" s="7"/>
      <c r="N16" s="7"/>
      <c r="O16" s="6"/>
      <c r="P16" s="6"/>
      <c r="Q16" s="6"/>
      <c r="R16" s="7" t="str">
        <f>IF(OR(L16="Bewerbung versendet",L16="Eingangsbestätigung",L16="Rückmeldung ausstehend"),M16+14,"")</f>
        <v/>
      </c>
      <c r="S16" s="6"/>
      <c r="T16" s="6"/>
      <c r="U16" s="12"/>
      <c r="V16" s="6" t="str">
        <f t="shared" ca="1" si="1"/>
        <v/>
      </c>
    </row>
    <row r="17" spans="1:22" x14ac:dyDescent="0.25">
      <c r="A17" s="6" t="str">
        <f t="shared" si="0"/>
        <v/>
      </c>
      <c r="B17" s="6"/>
      <c r="C17" s="6"/>
      <c r="D17" s="6"/>
      <c r="E17" s="6"/>
      <c r="F17" s="6"/>
      <c r="G17" s="6"/>
      <c r="H17" s="6"/>
      <c r="I17" s="6"/>
      <c r="J17" s="7"/>
      <c r="K17" s="6"/>
      <c r="L17" s="6"/>
      <c r="M17" s="7"/>
      <c r="N17" s="7"/>
      <c r="O17" s="6"/>
      <c r="P17" s="6"/>
      <c r="Q17" s="6"/>
      <c r="R17" s="7" t="str">
        <f>IF(OR(L17="Bewerbung versendet",L17="Eingangsbestätigung",L17="Rückmeldung ausstehend"),M17+14,"")</f>
        <v/>
      </c>
      <c r="S17" s="6"/>
      <c r="T17" s="6"/>
      <c r="U17" s="12"/>
      <c r="V17" s="6" t="str">
        <f t="shared" ca="1" si="1"/>
        <v/>
      </c>
    </row>
    <row r="18" spans="1:22" x14ac:dyDescent="0.25">
      <c r="A18" s="6" t="str">
        <f t="shared" si="0"/>
        <v/>
      </c>
      <c r="B18" s="6"/>
      <c r="C18" s="6"/>
      <c r="D18" s="6"/>
      <c r="E18" s="6"/>
      <c r="F18" s="6"/>
      <c r="G18" s="6"/>
      <c r="H18" s="6"/>
      <c r="I18" s="6"/>
      <c r="J18" s="7"/>
      <c r="K18" s="6"/>
      <c r="L18" s="6"/>
      <c r="M18" s="7"/>
      <c r="N18" s="7"/>
      <c r="O18" s="6"/>
      <c r="P18" s="6"/>
      <c r="Q18" s="6"/>
      <c r="R18" s="7" t="str">
        <f>IF(OR(L18="Bewerbung versendet",L18="Eingangsbestätigung",L18="Rückmeldung ausstehend"),M18+14,"")</f>
        <v/>
      </c>
      <c r="S18" s="6"/>
      <c r="T18" s="6"/>
      <c r="U18" s="12"/>
      <c r="V18" s="6" t="str">
        <f t="shared" ca="1" si="1"/>
        <v/>
      </c>
    </row>
    <row r="19" spans="1:22" x14ac:dyDescent="0.25">
      <c r="A19" s="6" t="str">
        <f t="shared" si="0"/>
        <v/>
      </c>
      <c r="B19" s="6"/>
      <c r="C19" s="6"/>
      <c r="D19" s="6"/>
      <c r="E19" s="6"/>
      <c r="F19" s="6"/>
      <c r="G19" s="6"/>
      <c r="H19" s="6"/>
      <c r="I19" s="6"/>
      <c r="J19" s="7"/>
      <c r="K19" s="6"/>
      <c r="L19" s="6"/>
      <c r="M19" s="7"/>
      <c r="N19" s="7"/>
      <c r="O19" s="6"/>
      <c r="P19" s="6"/>
      <c r="Q19" s="6"/>
      <c r="R19" s="7" t="str">
        <f>IF(OR(L19="Bewerbung versendet",L19="Eingangsbestätigung",L19="Rückmeldung ausstehend"),M19+14,"")</f>
        <v/>
      </c>
      <c r="S19" s="6"/>
      <c r="T19" s="6"/>
      <c r="U19" s="12"/>
      <c r="V19" s="6" t="str">
        <f t="shared" ca="1" si="1"/>
        <v/>
      </c>
    </row>
    <row r="20" spans="1:22" x14ac:dyDescent="0.25">
      <c r="A20" s="6" t="str">
        <f t="shared" si="0"/>
        <v/>
      </c>
      <c r="B20" s="6"/>
      <c r="C20" s="6"/>
      <c r="D20" s="6"/>
      <c r="E20" s="6"/>
      <c r="F20" s="6"/>
      <c r="G20" s="6"/>
      <c r="H20" s="6"/>
      <c r="I20" s="6"/>
      <c r="J20" s="7"/>
      <c r="K20" s="6"/>
      <c r="L20" s="6"/>
      <c r="M20" s="7"/>
      <c r="N20" s="7"/>
      <c r="O20" s="6"/>
      <c r="P20" s="6"/>
      <c r="Q20" s="6"/>
      <c r="R20" s="7" t="str">
        <f>IF(OR(L20="Bewerbung versendet",L20="Eingangsbestätigung",L20="Rückmeldung ausstehend"),M20+14,"")</f>
        <v/>
      </c>
      <c r="S20" s="6"/>
      <c r="T20" s="6"/>
      <c r="U20" s="12"/>
      <c r="V20" s="6" t="str">
        <f t="shared" ca="1" si="1"/>
        <v/>
      </c>
    </row>
  </sheetData>
  <phoneticPr fontId="2" type="noConversion"/>
  <conditionalFormatting sqref="A2:V20">
    <cfRule type="expression" dxfId="24" priority="1">
      <formula>$L2="Gespräch eingeladen"</formula>
    </cfRule>
  </conditionalFormatting>
  <conditionalFormatting sqref="A2:V20">
    <cfRule type="expression" dxfId="23" priority="2">
      <formula>$L2="Zusage"</formula>
    </cfRule>
  </conditionalFormatting>
  <conditionalFormatting sqref="A2:V20">
    <cfRule type="expression" dxfId="22" priority="3">
      <formula>$L2="Absage"</formula>
    </cfRule>
  </conditionalFormatting>
  <conditionalFormatting sqref="A2:V20">
    <cfRule type="expression" dxfId="21" priority="4">
      <formula>$L2="Rückmeldung ausstehend"</formula>
    </cfRule>
  </conditionalFormatting>
  <conditionalFormatting sqref="A2:V20">
    <cfRule type="expression" dxfId="20" priority="5">
      <formula>$L2="Bewerbung versendet"</formula>
    </cfRule>
  </conditionalFormatting>
  <conditionalFormatting sqref="A2:V20">
    <cfRule type="expression" dxfId="19" priority="6">
      <formula>$L2="Gespräch absolviert"</formula>
    </cfRule>
  </conditionalFormatting>
  <conditionalFormatting sqref="A2:V20">
    <cfRule type="expression" dxfId="18" priority="7">
      <formula>$L2="Eingangsbestätigung"</formula>
    </cfRule>
  </conditionalFormatting>
  <conditionalFormatting sqref="A2:V20">
    <cfRule type="expression" dxfId="17" priority="8">
      <formula>$T2="Zusage angenommen"</formula>
    </cfRule>
  </conditionalFormatting>
  <conditionalFormatting sqref="A2:V20">
    <cfRule type="expression" dxfId="16" priority="9">
      <formula>$T2="Zusage abgelehnt"</formula>
    </cfRule>
  </conditionalFormatting>
  <conditionalFormatting sqref="A2:V20">
    <cfRule type="expression" dxfId="15" priority="10">
      <formula>$T2="Absage erhalten"</formula>
    </cfRule>
  </conditionalFormatting>
  <conditionalFormatting sqref="A2:V20">
    <cfRule type="expression" dxfId="14" priority="11">
      <formula>$T2="Zurückgezogen"</formula>
    </cfRule>
  </conditionalFormatting>
  <pageMargins left="0.75" right="0.75" top="1" bottom="1" header="0.5" footer="0.5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144622D5-5F5C-4DAE-B295-581A071DA1D1}">
          <x14:formula1>
            <xm:f>Hilfstabellen!$M$2:$M$10</xm:f>
          </x14:formula1>
          <xm:sqref>H2:H100</xm:sqref>
        </x14:dataValidation>
        <x14:dataValidation type="list" allowBlank="1" showInputMessage="1" showErrorMessage="1" xr:uid="{03076AE8-C2FC-41B8-BE2E-EA8D710B16E3}">
          <x14:formula1>
            <xm:f>Hilfstabellen!$C$2:$C$7</xm:f>
          </x14:formula1>
          <xm:sqref>I2:I100</xm:sqref>
        </x14:dataValidation>
        <x14:dataValidation type="list" allowBlank="1" showInputMessage="1" showErrorMessage="1" xr:uid="{1EC8A0BD-5665-446C-AB47-180DAA6C86EE}">
          <x14:formula1>
            <xm:f>Hilfstabellen!$A$2:$A$6</xm:f>
          </x14:formula1>
          <xm:sqref>K2:K100</xm:sqref>
        </x14:dataValidation>
        <x14:dataValidation type="list" allowBlank="1" showInputMessage="1" showErrorMessage="1" xr:uid="{19265F24-4816-4425-B1D9-49FC9060E0F2}">
          <x14:formula1>
            <xm:f>Hilfstabellen!$E$2:$E$8</xm:f>
          </x14:formula1>
          <xm:sqref>L2:L100</xm:sqref>
        </x14:dataValidation>
        <x14:dataValidation type="list" allowBlank="1" showInputMessage="1" showErrorMessage="1" xr:uid="{28F20B37-E372-4237-8A94-CAEF26DEBC8F}">
          <x14:formula1>
            <xm:f>Hilfstabellen!$G$2:$G$5</xm:f>
          </x14:formula1>
          <xm:sqref>O2:O100</xm:sqref>
        </x14:dataValidation>
        <x14:dataValidation type="list" allowBlank="1" showInputMessage="1" showErrorMessage="1" xr:uid="{C24AFD7C-F214-42D4-B779-B2B2B768AA45}">
          <x14:formula1>
            <xm:f>Hilfstabellen!$I$2:$I$4</xm:f>
          </x14:formula1>
          <xm:sqref>S2:S100</xm:sqref>
        </x14:dataValidation>
        <x14:dataValidation type="list" allowBlank="1" showInputMessage="1" showErrorMessage="1" xr:uid="{4A91A815-EF6C-4D82-A5D3-BA68566FA62F}">
          <x14:formula1>
            <xm:f>Hilfstabellen!$K$2:$K$5</xm:f>
          </x14:formula1>
          <xm:sqref>T2:T100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6EB89-4DA3-4E64-94E2-B2B7C84BAAAA}">
  <sheetPr codeName="Tabelle3"/>
  <dimension ref="A1:V100"/>
  <sheetViews>
    <sheetView workbookViewId="0">
      <selection activeCell="L1" sqref="L1"/>
    </sheetView>
  </sheetViews>
  <sheetFormatPr baseColWidth="10" defaultColWidth="9.140625" defaultRowHeight="15" outlineLevelCol="1" x14ac:dyDescent="0.25"/>
  <cols>
    <col min="1" max="2" width="22" customWidth="1"/>
    <col min="3" max="3" width="22" hidden="1" customWidth="1" outlineLevel="1"/>
    <col min="4" max="4" width="26.140625" hidden="1" customWidth="1" outlineLevel="1"/>
    <col min="5" max="6" width="22" hidden="1" customWidth="1" outlineLevel="1"/>
    <col min="7" max="7" width="25.28515625" hidden="1" customWidth="1" outlineLevel="1"/>
    <col min="8" max="8" width="22" customWidth="1" collapsed="1"/>
    <col min="9" max="9" width="22" customWidth="1"/>
    <col min="10" max="10" width="23" style="2" customWidth="1"/>
    <col min="11" max="11" width="24" customWidth="1"/>
    <col min="12" max="12" width="25.7109375" customWidth="1"/>
    <col min="13" max="13" width="22" style="2" customWidth="1"/>
    <col min="14" max="14" width="24.85546875" style="2" customWidth="1"/>
    <col min="15" max="15" width="25.5703125" customWidth="1"/>
    <col min="16" max="16" width="23.5703125" customWidth="1"/>
    <col min="17" max="17" width="22" customWidth="1"/>
    <col min="18" max="18" width="22" style="2" customWidth="1"/>
    <col min="19" max="20" width="22" customWidth="1"/>
    <col min="21" max="21" width="28.7109375" bestFit="1" customWidth="1"/>
    <col min="22" max="22" width="22.7109375" style="5" customWidth="1"/>
  </cols>
  <sheetData>
    <row r="1" spans="1:22" s="1" customFormat="1" ht="31.5" customHeight="1" x14ac:dyDescent="0.25">
      <c r="A1" s="34" t="s">
        <v>0</v>
      </c>
      <c r="B1" s="38" t="s">
        <v>131</v>
      </c>
      <c r="C1" s="38" t="s">
        <v>1</v>
      </c>
      <c r="D1" s="38" t="s">
        <v>132</v>
      </c>
      <c r="E1" s="38" t="s">
        <v>2</v>
      </c>
      <c r="F1" s="38" t="s">
        <v>3</v>
      </c>
      <c r="G1" s="38" t="s">
        <v>4</v>
      </c>
      <c r="H1" s="38" t="s">
        <v>5</v>
      </c>
      <c r="I1" s="38" t="s">
        <v>6</v>
      </c>
      <c r="J1" s="39" t="s">
        <v>133</v>
      </c>
      <c r="K1" s="38" t="s">
        <v>7</v>
      </c>
      <c r="L1" s="38" t="s">
        <v>134</v>
      </c>
      <c r="M1" s="39" t="s">
        <v>9</v>
      </c>
      <c r="N1" s="39" t="s">
        <v>10</v>
      </c>
      <c r="O1" s="38" t="s">
        <v>11</v>
      </c>
      <c r="P1" s="38" t="s">
        <v>12</v>
      </c>
      <c r="Q1" s="38" t="s">
        <v>13</v>
      </c>
      <c r="R1" s="39" t="s">
        <v>14</v>
      </c>
      <c r="S1" s="38" t="s">
        <v>15</v>
      </c>
      <c r="T1" s="38" t="s">
        <v>16</v>
      </c>
      <c r="U1" s="38" t="s">
        <v>17</v>
      </c>
      <c r="V1" s="38" t="s">
        <v>18</v>
      </c>
    </row>
    <row r="2" spans="1:22" x14ac:dyDescent="0.25">
      <c r="A2" s="6" t="str" cm="1">
        <f t="array" aca="1" ref="A2:V3" ca="1">IFERROR(IF(_xlfn._xlws.FILTER(Bewerbungsübersicht!A2:V100,Bewerbungsübersicht!V2:V100="ja")=0,"",_xlfn._xlws.FILTER(Bewerbungsübersicht!A2:V100,Bewerbungsübersicht!V2:V100="ja")),"Keine Aufgaben für heute")</f>
        <v>BEW-2026-002</v>
      </c>
      <c r="B2" s="6" t="str">
        <f ca="1"/>
        <v>MedienWerk AG</v>
      </c>
      <c r="C2" s="6" t="str">
        <f ca="1"/>
        <v>Berlin</v>
      </c>
      <c r="D2" s="6" t="str">
        <f ca="1"/>
        <v>Marketing Manager</v>
      </c>
      <c r="E2" s="6" t="str">
        <f ca="1"/>
        <v>MW-1234</v>
      </c>
      <c r="F2" s="6" t="str">
        <f ca="1"/>
        <v>Herr Müller</v>
      </c>
      <c r="G2" s="6" t="str">
        <f ca="1"/>
        <v>bewerbung@medienwerk.de</v>
      </c>
      <c r="H2" s="6" t="str">
        <f ca="1"/>
        <v>StepStone</v>
      </c>
      <c r="I2" s="6" t="str">
        <f ca="1"/>
        <v>E-Mail</v>
      </c>
      <c r="J2" s="7">
        <f ca="1"/>
        <v>46171</v>
      </c>
      <c r="K2" s="6" t="str">
        <f ca="1"/>
        <v>Lebenslauf, Anschreiben</v>
      </c>
      <c r="L2" s="6" t="str">
        <f ca="1"/>
        <v>Bewerbung versendet</v>
      </c>
      <c r="M2" s="7">
        <f ca="1"/>
        <v>46171</v>
      </c>
      <c r="N2" s="7">
        <f ca="1"/>
        <v>46186</v>
      </c>
      <c r="O2" s="6" t="str">
        <f ca="1"/>
        <v>Persönlich</v>
      </c>
      <c r="P2" s="6" t="str">
        <f ca="1"/>
        <v>Noch keine Entscheidung</v>
      </c>
      <c r="Q2" s="6" t="str">
        <f ca="1"/>
        <v>Eingangsbestätigung abwarten</v>
      </c>
      <c r="R2" s="7">
        <f ca="1"/>
        <v>46185</v>
      </c>
      <c r="S2" s="6" t="str">
        <f ca="1"/>
        <v>Hoch</v>
      </c>
      <c r="T2" s="6" t="str">
        <f ca="1"/>
        <v/>
      </c>
      <c r="U2" s="6" t="str">
        <f ca="1"/>
        <v>Sehr interessante Position mit Homeoffice-Option</v>
      </c>
      <c r="V2" s="6" t="str">
        <f ca="1"/>
        <v>ja</v>
      </c>
    </row>
    <row r="3" spans="1:22" x14ac:dyDescent="0.25">
      <c r="A3" s="6" t="str">
        <f ca="1"/>
        <v>BEW-2026-003</v>
      </c>
      <c r="B3" s="6" t="str">
        <f ca="1"/>
        <v>Stadtwerke Oldenburg</v>
      </c>
      <c r="C3" s="6" t="str">
        <f ca="1"/>
        <v>Oldenburg</v>
      </c>
      <c r="D3" s="6" t="str">
        <f ca="1"/>
        <v>Sachbearbeiter Kundenservice</v>
      </c>
      <c r="E3" s="6" t="str">
        <f ca="1"/>
        <v xml:space="preserve"> </v>
      </c>
      <c r="F3" s="6" t="str">
        <f ca="1"/>
        <v>Personalabteilung</v>
      </c>
      <c r="G3" s="6" t="str">
        <f ca="1"/>
        <v>personal@stadtwerke-ol.de</v>
      </c>
      <c r="H3" s="6" t="str">
        <f ca="1"/>
        <v>Initiativ</v>
      </c>
      <c r="I3" s="6" t="str">
        <f ca="1"/>
        <v>Initiativ</v>
      </c>
      <c r="J3" s="7">
        <f ca="1"/>
        <v>46150</v>
      </c>
      <c r="K3" s="6" t="str">
        <f ca="1"/>
        <v>Lebenslauf, Anschreiben</v>
      </c>
      <c r="L3" s="6" t="str">
        <f ca="1"/>
        <v>Rückmeldung ausstehend</v>
      </c>
      <c r="M3" s="7">
        <f ca="1"/>
        <v>46150</v>
      </c>
      <c r="N3" s="7">
        <f ca="1"/>
        <v>46160</v>
      </c>
      <c r="O3" s="6" t="str">
        <f ca="1"/>
        <v>Telefon</v>
      </c>
      <c r="P3" s="6" t="str">
        <f ca="1"/>
        <v>Noch keine Entscheidung</v>
      </c>
      <c r="Q3" s="6" t="str">
        <f ca="1"/>
        <v>Nochmals nachfragen</v>
      </c>
      <c r="R3" s="7">
        <f ca="1"/>
        <v>46164</v>
      </c>
      <c r="S3" s="6" t="str">
        <f ca="1"/>
        <v>Normal</v>
      </c>
      <c r="T3" s="6" t="str">
        <f ca="1"/>
        <v/>
      </c>
      <c r="U3" s="6" t="str">
        <f ca="1"/>
        <v>Anruf war freundlich, Stelle evtl. erst später frei</v>
      </c>
      <c r="V3" s="6" t="str">
        <f ca="1"/>
        <v>ja</v>
      </c>
    </row>
    <row r="4" spans="1:22" x14ac:dyDescent="0.25">
      <c r="A4" s="6"/>
      <c r="B4" s="6"/>
      <c r="C4" s="6"/>
      <c r="D4" s="6"/>
      <c r="E4" s="6"/>
      <c r="F4" s="6"/>
      <c r="G4" s="6"/>
      <c r="H4" s="6"/>
      <c r="I4" s="6"/>
      <c r="J4" s="7"/>
      <c r="K4" s="6"/>
      <c r="L4" s="6"/>
      <c r="M4" s="7"/>
      <c r="N4" s="7"/>
      <c r="O4" s="6"/>
      <c r="P4" s="6"/>
      <c r="Q4" s="6"/>
      <c r="R4" s="7"/>
      <c r="S4" s="6"/>
      <c r="T4" s="6"/>
      <c r="U4" s="6"/>
      <c r="V4" s="6"/>
    </row>
    <row r="5" spans="1:22" x14ac:dyDescent="0.25">
      <c r="A5" s="6"/>
      <c r="B5" s="6"/>
      <c r="C5" s="6"/>
      <c r="D5" s="6"/>
      <c r="E5" s="6"/>
      <c r="F5" s="6"/>
      <c r="G5" s="6"/>
      <c r="H5" s="6"/>
      <c r="I5" s="6"/>
      <c r="J5" s="7"/>
      <c r="K5" s="6"/>
      <c r="L5" s="6"/>
      <c r="M5" s="7"/>
      <c r="N5" s="7"/>
      <c r="O5" s="6"/>
      <c r="P5" s="6"/>
      <c r="Q5" s="6"/>
      <c r="R5" s="7"/>
      <c r="S5" s="6"/>
      <c r="T5" s="6"/>
      <c r="U5" s="6"/>
      <c r="V5" s="6"/>
    </row>
    <row r="6" spans="1:22" x14ac:dyDescent="0.25">
      <c r="A6" s="6"/>
      <c r="B6" s="6"/>
      <c r="C6" s="6"/>
      <c r="D6" s="6"/>
      <c r="E6" s="6"/>
      <c r="F6" s="6"/>
      <c r="G6" s="6"/>
      <c r="H6" s="6"/>
      <c r="I6" s="6"/>
      <c r="J6" s="7"/>
      <c r="K6" s="6"/>
      <c r="L6" s="6"/>
      <c r="M6" s="7"/>
      <c r="N6" s="7"/>
      <c r="O6" s="6"/>
      <c r="P6" s="6"/>
      <c r="Q6" s="6"/>
      <c r="R6" s="7"/>
      <c r="S6" s="6"/>
      <c r="T6" s="6"/>
      <c r="U6" s="6"/>
      <c r="V6" s="6"/>
    </row>
    <row r="7" spans="1:22" x14ac:dyDescent="0.25">
      <c r="A7" s="6"/>
      <c r="B7" s="6"/>
      <c r="C7" s="6"/>
      <c r="D7" s="6"/>
      <c r="E7" s="6"/>
      <c r="F7" s="6"/>
      <c r="G7" s="6"/>
      <c r="H7" s="6"/>
      <c r="I7" s="6"/>
      <c r="J7" s="7"/>
      <c r="K7" s="6"/>
      <c r="L7" s="6"/>
      <c r="M7" s="7"/>
      <c r="N7" s="7"/>
      <c r="O7" s="6"/>
      <c r="P7" s="6"/>
      <c r="Q7" s="6"/>
      <c r="R7" s="7"/>
      <c r="S7" s="6"/>
      <c r="T7" s="6"/>
      <c r="U7" s="6"/>
      <c r="V7" s="6"/>
    </row>
    <row r="8" spans="1:22" x14ac:dyDescent="0.25">
      <c r="A8" s="6"/>
      <c r="B8" s="6"/>
      <c r="C8" s="6"/>
      <c r="D8" s="6"/>
      <c r="E8" s="6"/>
      <c r="F8" s="6"/>
      <c r="G8" s="6"/>
      <c r="H8" s="6"/>
      <c r="I8" s="6"/>
      <c r="J8" s="7"/>
      <c r="K8" s="6"/>
      <c r="L8" s="6"/>
      <c r="M8" s="7"/>
      <c r="N8" s="7"/>
      <c r="O8" s="6"/>
      <c r="P8" s="6"/>
      <c r="Q8" s="6"/>
      <c r="R8" s="7"/>
      <c r="S8" s="6"/>
      <c r="T8" s="6"/>
      <c r="U8" s="6"/>
      <c r="V8" s="6"/>
    </row>
    <row r="9" spans="1:22" x14ac:dyDescent="0.25">
      <c r="A9" s="6"/>
      <c r="B9" s="6"/>
      <c r="C9" s="6"/>
      <c r="D9" s="6"/>
      <c r="E9" s="6"/>
      <c r="F9" s="6"/>
      <c r="G9" s="6"/>
      <c r="H9" s="6"/>
      <c r="I9" s="6"/>
      <c r="J9" s="7"/>
      <c r="K9" s="6"/>
      <c r="L9" s="6"/>
      <c r="M9" s="7"/>
      <c r="N9" s="7"/>
      <c r="O9" s="6"/>
      <c r="P9" s="6"/>
      <c r="Q9" s="6"/>
      <c r="R9" s="7"/>
      <c r="S9" s="6"/>
      <c r="T9" s="6"/>
      <c r="U9" s="6"/>
      <c r="V9" s="6"/>
    </row>
    <row r="10" spans="1:22" x14ac:dyDescent="0.25">
      <c r="A10" s="6"/>
      <c r="B10" s="6"/>
      <c r="C10" s="6"/>
      <c r="D10" s="6"/>
      <c r="E10" s="6"/>
      <c r="F10" s="6"/>
      <c r="G10" s="6"/>
      <c r="H10" s="6"/>
      <c r="I10" s="6"/>
      <c r="J10" s="7"/>
      <c r="K10" s="6"/>
      <c r="L10" s="6"/>
      <c r="M10" s="7"/>
      <c r="N10" s="7"/>
      <c r="O10" s="6"/>
      <c r="P10" s="6"/>
      <c r="Q10" s="6"/>
      <c r="R10" s="7"/>
      <c r="S10" s="6"/>
      <c r="T10" s="6"/>
      <c r="U10" s="6"/>
      <c r="V10" s="6"/>
    </row>
    <row r="11" spans="1:22" x14ac:dyDescent="0.25">
      <c r="A11" s="6"/>
      <c r="B11" s="6"/>
      <c r="C11" s="6"/>
      <c r="D11" s="6"/>
      <c r="E11" s="6"/>
      <c r="F11" s="6"/>
      <c r="G11" s="6"/>
      <c r="H11" s="6"/>
      <c r="I11" s="6"/>
      <c r="J11" s="7"/>
      <c r="K11" s="6"/>
      <c r="L11" s="6"/>
      <c r="M11" s="7"/>
      <c r="N11" s="7"/>
      <c r="O11" s="6"/>
      <c r="P11" s="6"/>
      <c r="Q11" s="6"/>
      <c r="R11" s="7"/>
      <c r="S11" s="6"/>
      <c r="T11" s="6"/>
      <c r="U11" s="6"/>
      <c r="V11" s="6"/>
    </row>
    <row r="12" spans="1:22" x14ac:dyDescent="0.25">
      <c r="A12" s="6"/>
      <c r="B12" s="6"/>
      <c r="C12" s="6"/>
      <c r="D12" s="6"/>
      <c r="E12" s="6"/>
      <c r="F12" s="6"/>
      <c r="G12" s="6"/>
      <c r="H12" s="6"/>
      <c r="I12" s="6"/>
      <c r="J12" s="7"/>
      <c r="K12" s="6"/>
      <c r="L12" s="6"/>
      <c r="M12" s="7"/>
      <c r="N12" s="7"/>
      <c r="O12" s="6"/>
      <c r="P12" s="6"/>
      <c r="Q12" s="6"/>
      <c r="R12" s="7"/>
      <c r="S12" s="6"/>
      <c r="T12" s="6"/>
      <c r="U12" s="6"/>
      <c r="V12" s="6"/>
    </row>
    <row r="13" spans="1:22" x14ac:dyDescent="0.25">
      <c r="A13" s="6"/>
      <c r="B13" s="6"/>
      <c r="C13" s="6"/>
      <c r="D13" s="6"/>
      <c r="E13" s="6"/>
      <c r="F13" s="6"/>
      <c r="G13" s="6"/>
      <c r="H13" s="6"/>
      <c r="I13" s="6"/>
      <c r="J13" s="7"/>
      <c r="K13" s="6"/>
      <c r="L13" s="6"/>
      <c r="M13" s="7"/>
      <c r="N13" s="7"/>
      <c r="O13" s="6"/>
      <c r="P13" s="6"/>
      <c r="Q13" s="6"/>
      <c r="R13" s="7"/>
      <c r="S13" s="6"/>
      <c r="T13" s="6"/>
      <c r="U13" s="6"/>
      <c r="V13" s="6"/>
    </row>
    <row r="14" spans="1:22" x14ac:dyDescent="0.25">
      <c r="A14" s="6"/>
      <c r="B14" s="6"/>
      <c r="C14" s="6"/>
      <c r="D14" s="6"/>
      <c r="E14" s="6"/>
      <c r="F14" s="6"/>
      <c r="G14" s="6"/>
      <c r="H14" s="6"/>
      <c r="I14" s="6"/>
      <c r="J14" s="7"/>
      <c r="K14" s="6"/>
      <c r="L14" s="6"/>
      <c r="M14" s="7"/>
      <c r="N14" s="7"/>
      <c r="O14" s="6"/>
      <c r="P14" s="6"/>
      <c r="Q14" s="6"/>
      <c r="R14" s="7"/>
      <c r="S14" s="6"/>
      <c r="T14" s="6"/>
      <c r="U14" s="6"/>
      <c r="V14" s="6"/>
    </row>
    <row r="15" spans="1:22" x14ac:dyDescent="0.25">
      <c r="A15" s="6"/>
      <c r="B15" s="6"/>
      <c r="C15" s="6"/>
      <c r="D15" s="6"/>
      <c r="E15" s="6"/>
      <c r="F15" s="6"/>
      <c r="G15" s="6"/>
      <c r="H15" s="6"/>
      <c r="I15" s="6"/>
      <c r="J15" s="7"/>
      <c r="K15" s="6"/>
      <c r="L15" s="6"/>
      <c r="M15" s="7"/>
      <c r="N15" s="7"/>
      <c r="O15" s="6"/>
      <c r="P15" s="6"/>
      <c r="Q15" s="6"/>
      <c r="R15" s="7"/>
      <c r="S15" s="6"/>
      <c r="T15" s="6"/>
      <c r="U15" s="6"/>
      <c r="V15" s="6"/>
    </row>
    <row r="16" spans="1:22" x14ac:dyDescent="0.25">
      <c r="A16" s="6"/>
      <c r="B16" s="6"/>
      <c r="C16" s="6"/>
      <c r="D16" s="6"/>
      <c r="E16" s="6"/>
      <c r="F16" s="6"/>
      <c r="G16" s="6"/>
      <c r="H16" s="6"/>
      <c r="I16" s="6"/>
      <c r="J16" s="7"/>
      <c r="K16" s="6"/>
      <c r="L16" s="6"/>
      <c r="M16" s="7"/>
      <c r="N16" s="7"/>
      <c r="O16" s="6"/>
      <c r="P16" s="6"/>
      <c r="Q16" s="6"/>
      <c r="R16" s="7"/>
      <c r="S16" s="6"/>
      <c r="T16" s="6"/>
      <c r="U16" s="6"/>
      <c r="V16" s="6"/>
    </row>
    <row r="17" spans="1:22" x14ac:dyDescent="0.25">
      <c r="A17" s="6"/>
      <c r="B17" s="6"/>
      <c r="C17" s="6"/>
      <c r="D17" s="6"/>
      <c r="E17" s="6"/>
      <c r="F17" s="6"/>
      <c r="G17" s="6"/>
      <c r="H17" s="6"/>
      <c r="I17" s="6"/>
      <c r="J17" s="7"/>
      <c r="K17" s="6"/>
      <c r="L17" s="6"/>
      <c r="M17" s="7"/>
      <c r="N17" s="7"/>
      <c r="O17" s="6"/>
      <c r="P17" s="6"/>
      <c r="Q17" s="6"/>
      <c r="R17" s="7"/>
      <c r="S17" s="6"/>
      <c r="T17" s="6"/>
      <c r="U17" s="6"/>
      <c r="V17" s="6"/>
    </row>
    <row r="18" spans="1:22" x14ac:dyDescent="0.25">
      <c r="A18" s="6"/>
      <c r="B18" s="6"/>
      <c r="C18" s="6"/>
      <c r="D18" s="6"/>
      <c r="E18" s="6"/>
      <c r="F18" s="6"/>
      <c r="G18" s="6"/>
      <c r="H18" s="6"/>
      <c r="I18" s="6"/>
      <c r="J18" s="7"/>
      <c r="K18" s="6"/>
      <c r="L18" s="6"/>
      <c r="M18" s="7"/>
      <c r="N18" s="7"/>
      <c r="O18" s="6"/>
      <c r="P18" s="6"/>
      <c r="Q18" s="6"/>
      <c r="R18" s="7"/>
      <c r="S18" s="6"/>
      <c r="T18" s="6"/>
      <c r="U18" s="6"/>
      <c r="V18" s="6"/>
    </row>
    <row r="19" spans="1:22" x14ac:dyDescent="0.25">
      <c r="A19" s="6"/>
      <c r="B19" s="6"/>
      <c r="C19" s="6"/>
      <c r="D19" s="6"/>
      <c r="E19" s="6"/>
      <c r="F19" s="6"/>
      <c r="G19" s="6"/>
      <c r="H19" s="6"/>
      <c r="I19" s="6"/>
      <c r="J19" s="7"/>
      <c r="K19" s="6"/>
      <c r="L19" s="6"/>
      <c r="M19" s="7"/>
      <c r="N19" s="7"/>
      <c r="O19" s="6"/>
      <c r="P19" s="6"/>
      <c r="Q19" s="6"/>
      <c r="R19" s="7"/>
      <c r="S19" s="6"/>
      <c r="T19" s="6"/>
      <c r="U19" s="6"/>
      <c r="V19" s="6"/>
    </row>
    <row r="20" spans="1:22" x14ac:dyDescent="0.25">
      <c r="A20" s="6"/>
      <c r="B20" s="6"/>
      <c r="C20" s="6"/>
      <c r="D20" s="6"/>
      <c r="E20" s="6"/>
      <c r="F20" s="6"/>
      <c r="G20" s="6"/>
      <c r="H20" s="6"/>
      <c r="I20" s="6"/>
      <c r="J20" s="7"/>
      <c r="K20" s="6"/>
      <c r="L20" s="6"/>
      <c r="M20" s="7"/>
      <c r="N20" s="7"/>
      <c r="O20" s="6"/>
      <c r="P20" s="6"/>
      <c r="Q20" s="6"/>
      <c r="R20" s="7"/>
      <c r="S20" s="6"/>
      <c r="T20" s="6"/>
      <c r="U20" s="6"/>
      <c r="V20" s="6"/>
    </row>
    <row r="21" spans="1:22" x14ac:dyDescent="0.25">
      <c r="A21" s="6"/>
      <c r="B21" s="6"/>
      <c r="C21" s="6"/>
      <c r="D21" s="6"/>
      <c r="E21" s="6"/>
      <c r="F21" s="6"/>
      <c r="G21" s="6"/>
      <c r="H21" s="6"/>
      <c r="I21" s="6"/>
      <c r="J21" s="7"/>
      <c r="K21" s="6"/>
      <c r="L21" s="6"/>
      <c r="M21" s="7"/>
      <c r="N21" s="7"/>
      <c r="O21" s="6"/>
      <c r="P21" s="6"/>
      <c r="Q21" s="6"/>
      <c r="R21" s="7"/>
      <c r="S21" s="6"/>
      <c r="T21" s="6"/>
      <c r="U21" s="6"/>
      <c r="V21" s="6"/>
    </row>
    <row r="22" spans="1:22" x14ac:dyDescent="0.25">
      <c r="A22" s="6"/>
      <c r="B22" s="6"/>
      <c r="C22" s="6"/>
      <c r="D22" s="6"/>
      <c r="E22" s="6"/>
      <c r="F22" s="6"/>
      <c r="G22" s="6"/>
      <c r="H22" s="6"/>
      <c r="I22" s="6"/>
      <c r="J22" s="7"/>
      <c r="K22" s="6"/>
      <c r="L22" s="6"/>
      <c r="M22" s="7"/>
      <c r="N22" s="7"/>
      <c r="O22" s="6"/>
      <c r="P22" s="6"/>
      <c r="Q22" s="6"/>
      <c r="R22" s="7"/>
      <c r="S22" s="6"/>
      <c r="T22" s="6"/>
      <c r="U22" s="6"/>
      <c r="V22" s="6"/>
    </row>
    <row r="23" spans="1:22" x14ac:dyDescent="0.25">
      <c r="A23" s="6"/>
      <c r="B23" s="6"/>
      <c r="C23" s="6"/>
      <c r="D23" s="6"/>
      <c r="E23" s="6"/>
      <c r="F23" s="6"/>
      <c r="G23" s="6"/>
      <c r="H23" s="6"/>
      <c r="I23" s="6"/>
      <c r="J23" s="7"/>
      <c r="K23" s="6"/>
      <c r="L23" s="6"/>
      <c r="M23" s="7"/>
      <c r="N23" s="7"/>
      <c r="O23" s="6"/>
      <c r="P23" s="6"/>
      <c r="Q23" s="6"/>
      <c r="R23" s="7"/>
      <c r="S23" s="6"/>
      <c r="T23" s="6"/>
      <c r="U23" s="6"/>
      <c r="V23" s="6"/>
    </row>
    <row r="24" spans="1:22" x14ac:dyDescent="0.25">
      <c r="A24" s="6"/>
      <c r="B24" s="6"/>
      <c r="C24" s="6"/>
      <c r="D24" s="6"/>
      <c r="E24" s="6"/>
      <c r="F24" s="6"/>
      <c r="G24" s="6"/>
      <c r="H24" s="6"/>
      <c r="I24" s="6"/>
      <c r="J24" s="7"/>
      <c r="K24" s="6"/>
      <c r="L24" s="6"/>
      <c r="M24" s="7"/>
      <c r="N24" s="7"/>
      <c r="O24" s="6"/>
      <c r="P24" s="6"/>
      <c r="Q24" s="6"/>
      <c r="R24" s="7"/>
      <c r="S24" s="6"/>
      <c r="T24" s="6"/>
      <c r="U24" s="6"/>
      <c r="V24" s="6"/>
    </row>
    <row r="25" spans="1:22" x14ac:dyDescent="0.25">
      <c r="A25" s="6"/>
      <c r="B25" s="6"/>
      <c r="C25" s="6"/>
      <c r="D25" s="6"/>
      <c r="E25" s="6"/>
      <c r="F25" s="6"/>
      <c r="G25" s="6"/>
      <c r="H25" s="6"/>
      <c r="I25" s="6"/>
      <c r="J25" s="7"/>
      <c r="K25" s="6"/>
      <c r="L25" s="6"/>
      <c r="M25" s="7"/>
      <c r="N25" s="7"/>
      <c r="O25" s="6"/>
      <c r="P25" s="6"/>
      <c r="Q25" s="6"/>
      <c r="R25" s="7"/>
      <c r="S25" s="6"/>
      <c r="T25" s="6"/>
      <c r="U25" s="6"/>
      <c r="V25" s="6"/>
    </row>
    <row r="26" spans="1:22" x14ac:dyDescent="0.25">
      <c r="A26" s="6"/>
      <c r="B26" s="6"/>
      <c r="C26" s="6"/>
      <c r="D26" s="6"/>
      <c r="E26" s="6"/>
      <c r="F26" s="6"/>
      <c r="G26" s="6"/>
      <c r="H26" s="6"/>
      <c r="I26" s="6"/>
      <c r="J26" s="7"/>
      <c r="K26" s="6"/>
      <c r="L26" s="6"/>
      <c r="M26" s="7"/>
      <c r="N26" s="7"/>
      <c r="O26" s="6"/>
      <c r="P26" s="6"/>
      <c r="Q26" s="6"/>
      <c r="R26" s="7"/>
      <c r="S26" s="6"/>
      <c r="T26" s="6"/>
      <c r="U26" s="6"/>
      <c r="V26" s="6"/>
    </row>
    <row r="27" spans="1:22" x14ac:dyDescent="0.25">
      <c r="A27" s="6"/>
      <c r="B27" s="6"/>
      <c r="C27" s="6"/>
      <c r="D27" s="6"/>
      <c r="E27" s="6"/>
      <c r="F27" s="6"/>
      <c r="G27" s="6"/>
      <c r="H27" s="6"/>
      <c r="I27" s="6"/>
      <c r="J27" s="7"/>
      <c r="K27" s="6"/>
      <c r="L27" s="6"/>
      <c r="M27" s="7"/>
      <c r="N27" s="7"/>
      <c r="O27" s="6"/>
      <c r="P27" s="6"/>
      <c r="Q27" s="6"/>
      <c r="R27" s="7"/>
      <c r="S27" s="6"/>
      <c r="T27" s="6"/>
      <c r="U27" s="6"/>
      <c r="V27" s="6"/>
    </row>
    <row r="28" spans="1:22" x14ac:dyDescent="0.25">
      <c r="A28" s="6"/>
      <c r="B28" s="6"/>
      <c r="C28" s="6"/>
      <c r="D28" s="6"/>
      <c r="E28" s="6"/>
      <c r="F28" s="6"/>
      <c r="G28" s="6"/>
      <c r="H28" s="6"/>
      <c r="I28" s="6"/>
      <c r="J28" s="7"/>
      <c r="K28" s="6"/>
      <c r="L28" s="6"/>
      <c r="M28" s="7"/>
      <c r="N28" s="7"/>
      <c r="O28" s="6"/>
      <c r="P28" s="6"/>
      <c r="Q28" s="6"/>
      <c r="R28" s="7"/>
      <c r="S28" s="6"/>
      <c r="T28" s="6"/>
      <c r="U28" s="6"/>
      <c r="V28" s="6"/>
    </row>
    <row r="29" spans="1:22" x14ac:dyDescent="0.25">
      <c r="A29" s="6"/>
      <c r="B29" s="6"/>
      <c r="C29" s="6"/>
      <c r="D29" s="6"/>
      <c r="E29" s="6"/>
      <c r="F29" s="6"/>
      <c r="G29" s="6"/>
      <c r="H29" s="6"/>
      <c r="I29" s="6"/>
      <c r="J29" s="7"/>
      <c r="K29" s="6"/>
      <c r="L29" s="6"/>
      <c r="M29" s="7"/>
      <c r="N29" s="7"/>
      <c r="O29" s="6"/>
      <c r="P29" s="6"/>
      <c r="Q29" s="6"/>
      <c r="R29" s="7"/>
      <c r="S29" s="6"/>
      <c r="T29" s="6"/>
      <c r="U29" s="6"/>
      <c r="V29" s="6"/>
    </row>
    <row r="30" spans="1:22" x14ac:dyDescent="0.25">
      <c r="A30" s="6"/>
      <c r="B30" s="6"/>
      <c r="C30" s="6"/>
      <c r="D30" s="6"/>
      <c r="E30" s="6"/>
      <c r="F30" s="6"/>
      <c r="G30" s="6"/>
      <c r="H30" s="6"/>
      <c r="I30" s="6"/>
      <c r="J30" s="7"/>
      <c r="K30" s="6"/>
      <c r="L30" s="6"/>
      <c r="M30" s="7"/>
      <c r="N30" s="7"/>
      <c r="O30" s="6"/>
      <c r="P30" s="6"/>
      <c r="Q30" s="6"/>
      <c r="R30" s="7"/>
      <c r="S30" s="6"/>
      <c r="T30" s="6"/>
      <c r="U30" s="6"/>
      <c r="V30" s="6"/>
    </row>
    <row r="31" spans="1:22" x14ac:dyDescent="0.25">
      <c r="A31" s="6"/>
      <c r="B31" s="6"/>
      <c r="C31" s="6"/>
      <c r="D31" s="6"/>
      <c r="E31" s="6"/>
      <c r="F31" s="6"/>
      <c r="G31" s="6"/>
      <c r="H31" s="6"/>
      <c r="I31" s="6"/>
      <c r="J31" s="7"/>
      <c r="K31" s="6"/>
      <c r="L31" s="6"/>
      <c r="M31" s="7"/>
      <c r="N31" s="7"/>
      <c r="O31" s="6"/>
      <c r="P31" s="6"/>
      <c r="Q31" s="6"/>
      <c r="R31" s="7"/>
      <c r="S31" s="6"/>
      <c r="T31" s="6"/>
      <c r="U31" s="6"/>
      <c r="V31" s="6"/>
    </row>
    <row r="32" spans="1:22" x14ac:dyDescent="0.25">
      <c r="A32" s="6"/>
      <c r="B32" s="6"/>
      <c r="C32" s="6"/>
      <c r="D32" s="6"/>
      <c r="E32" s="6"/>
      <c r="F32" s="6"/>
      <c r="G32" s="6"/>
      <c r="H32" s="6"/>
      <c r="I32" s="6"/>
      <c r="J32" s="7"/>
      <c r="K32" s="6"/>
      <c r="L32" s="6"/>
      <c r="M32" s="7"/>
      <c r="N32" s="7"/>
      <c r="O32" s="6"/>
      <c r="P32" s="6"/>
      <c r="Q32" s="6"/>
      <c r="R32" s="7"/>
      <c r="S32" s="6"/>
      <c r="T32" s="6"/>
      <c r="U32" s="6"/>
      <c r="V32" s="6"/>
    </row>
    <row r="33" spans="1:22" x14ac:dyDescent="0.25">
      <c r="A33" s="6"/>
      <c r="B33" s="6"/>
      <c r="C33" s="6"/>
      <c r="D33" s="6"/>
      <c r="E33" s="6"/>
      <c r="F33" s="6"/>
      <c r="G33" s="6"/>
      <c r="H33" s="6"/>
      <c r="I33" s="6"/>
      <c r="J33" s="7"/>
      <c r="K33" s="6"/>
      <c r="L33" s="6"/>
      <c r="M33" s="7"/>
      <c r="N33" s="7"/>
      <c r="O33" s="6"/>
      <c r="P33" s="6"/>
      <c r="Q33" s="6"/>
      <c r="R33" s="7"/>
      <c r="S33" s="6"/>
      <c r="T33" s="6"/>
      <c r="U33" s="6"/>
      <c r="V33" s="6"/>
    </row>
    <row r="34" spans="1:22" x14ac:dyDescent="0.25">
      <c r="A34" s="6"/>
      <c r="B34" s="6"/>
      <c r="C34" s="6"/>
      <c r="D34" s="6"/>
      <c r="E34" s="6"/>
      <c r="F34" s="6"/>
      <c r="G34" s="6"/>
      <c r="H34" s="6"/>
      <c r="I34" s="6"/>
      <c r="J34" s="7"/>
      <c r="K34" s="6"/>
      <c r="L34" s="6"/>
      <c r="M34" s="7"/>
      <c r="N34" s="7"/>
      <c r="O34" s="6"/>
      <c r="P34" s="6"/>
      <c r="Q34" s="6"/>
      <c r="R34" s="7"/>
      <c r="S34" s="6"/>
      <c r="T34" s="6"/>
      <c r="U34" s="6"/>
      <c r="V34" s="6"/>
    </row>
    <row r="35" spans="1:22" x14ac:dyDescent="0.25">
      <c r="A35" s="6"/>
      <c r="B35" s="6"/>
      <c r="C35" s="6"/>
      <c r="D35" s="6"/>
      <c r="E35" s="6"/>
      <c r="F35" s="6"/>
      <c r="G35" s="6"/>
      <c r="H35" s="6"/>
      <c r="I35" s="6"/>
      <c r="J35" s="7"/>
      <c r="K35" s="6"/>
      <c r="L35" s="6"/>
      <c r="M35" s="7"/>
      <c r="N35" s="7"/>
      <c r="O35" s="6"/>
      <c r="P35" s="6"/>
      <c r="Q35" s="6"/>
      <c r="R35" s="7"/>
      <c r="S35" s="6"/>
      <c r="T35" s="6"/>
      <c r="U35" s="6"/>
      <c r="V35" s="6"/>
    </row>
    <row r="36" spans="1:22" x14ac:dyDescent="0.25">
      <c r="A36" s="6"/>
      <c r="B36" s="6"/>
      <c r="C36" s="6"/>
      <c r="D36" s="6"/>
      <c r="E36" s="6"/>
      <c r="F36" s="6"/>
      <c r="G36" s="6"/>
      <c r="H36" s="6"/>
      <c r="I36" s="6"/>
      <c r="J36" s="7"/>
      <c r="K36" s="6"/>
      <c r="L36" s="6"/>
      <c r="M36" s="7"/>
      <c r="N36" s="7"/>
      <c r="O36" s="6"/>
      <c r="P36" s="6"/>
      <c r="Q36" s="6"/>
      <c r="R36" s="7"/>
      <c r="S36" s="6"/>
      <c r="T36" s="6"/>
      <c r="U36" s="6"/>
      <c r="V36" s="6"/>
    </row>
    <row r="37" spans="1:22" x14ac:dyDescent="0.25">
      <c r="A37" s="6"/>
      <c r="B37" s="6"/>
      <c r="C37" s="6"/>
      <c r="D37" s="6"/>
      <c r="E37" s="6"/>
      <c r="F37" s="6"/>
      <c r="G37" s="6"/>
      <c r="H37" s="6"/>
      <c r="I37" s="6"/>
      <c r="J37" s="7"/>
      <c r="K37" s="6"/>
      <c r="L37" s="6"/>
      <c r="M37" s="7"/>
      <c r="N37" s="7"/>
      <c r="O37" s="6"/>
      <c r="P37" s="6"/>
      <c r="Q37" s="6"/>
      <c r="R37" s="7"/>
      <c r="S37" s="6"/>
      <c r="T37" s="6"/>
      <c r="U37" s="6"/>
      <c r="V37" s="6"/>
    </row>
    <row r="38" spans="1:22" x14ac:dyDescent="0.25">
      <c r="A38" s="6"/>
      <c r="B38" s="6"/>
      <c r="C38" s="6"/>
      <c r="D38" s="6"/>
      <c r="E38" s="6"/>
      <c r="F38" s="6"/>
      <c r="G38" s="6"/>
      <c r="H38" s="6"/>
      <c r="I38" s="6"/>
      <c r="J38" s="7"/>
      <c r="K38" s="6"/>
      <c r="L38" s="6"/>
      <c r="M38" s="7"/>
      <c r="N38" s="7"/>
      <c r="O38" s="6"/>
      <c r="P38" s="6"/>
      <c r="Q38" s="6"/>
      <c r="R38" s="7"/>
      <c r="S38" s="6"/>
      <c r="T38" s="6"/>
      <c r="U38" s="6"/>
      <c r="V38" s="6"/>
    </row>
    <row r="39" spans="1:22" x14ac:dyDescent="0.25">
      <c r="A39" s="6"/>
      <c r="B39" s="6"/>
      <c r="C39" s="6"/>
      <c r="D39" s="6"/>
      <c r="E39" s="6"/>
      <c r="F39" s="6"/>
      <c r="G39" s="6"/>
      <c r="H39" s="6"/>
      <c r="I39" s="6"/>
      <c r="J39" s="7"/>
      <c r="K39" s="6"/>
      <c r="L39" s="6"/>
      <c r="M39" s="7"/>
      <c r="N39" s="7"/>
      <c r="O39" s="6"/>
      <c r="P39" s="6"/>
      <c r="Q39" s="6"/>
      <c r="R39" s="7"/>
      <c r="S39" s="6"/>
      <c r="T39" s="6"/>
      <c r="U39" s="6"/>
      <c r="V39" s="6"/>
    </row>
    <row r="40" spans="1:22" x14ac:dyDescent="0.25">
      <c r="A40" s="6"/>
      <c r="B40" s="6"/>
      <c r="C40" s="6"/>
      <c r="D40" s="6"/>
      <c r="E40" s="6"/>
      <c r="F40" s="6"/>
      <c r="G40" s="6"/>
      <c r="H40" s="6"/>
      <c r="I40" s="6"/>
      <c r="J40" s="7"/>
      <c r="K40" s="6"/>
      <c r="L40" s="6"/>
      <c r="M40" s="7"/>
      <c r="N40" s="7"/>
      <c r="O40" s="6"/>
      <c r="P40" s="6"/>
      <c r="Q40" s="6"/>
      <c r="R40" s="7"/>
      <c r="S40" s="6"/>
      <c r="T40" s="6"/>
      <c r="U40" s="6"/>
      <c r="V40" s="6"/>
    </row>
    <row r="41" spans="1:22" x14ac:dyDescent="0.25">
      <c r="A41" s="6"/>
      <c r="B41" s="6"/>
      <c r="C41" s="6"/>
      <c r="D41" s="6"/>
      <c r="E41" s="6"/>
      <c r="F41" s="6"/>
      <c r="G41" s="6"/>
      <c r="H41" s="6"/>
      <c r="I41" s="6"/>
      <c r="J41" s="7"/>
      <c r="K41" s="6"/>
      <c r="L41" s="6"/>
      <c r="M41" s="7"/>
      <c r="N41" s="7"/>
      <c r="O41" s="6"/>
      <c r="P41" s="6"/>
      <c r="Q41" s="6"/>
      <c r="R41" s="7"/>
      <c r="S41" s="6"/>
      <c r="T41" s="6"/>
      <c r="U41" s="6"/>
      <c r="V41" s="6"/>
    </row>
    <row r="42" spans="1:22" x14ac:dyDescent="0.25">
      <c r="A42" s="6"/>
      <c r="B42" s="6"/>
      <c r="C42" s="6"/>
      <c r="D42" s="6"/>
      <c r="E42" s="6"/>
      <c r="F42" s="6"/>
      <c r="G42" s="6"/>
      <c r="H42" s="6"/>
      <c r="I42" s="6"/>
      <c r="J42" s="7"/>
      <c r="K42" s="6"/>
      <c r="L42" s="6"/>
      <c r="M42" s="7"/>
      <c r="N42" s="7"/>
      <c r="O42" s="6"/>
      <c r="P42" s="6"/>
      <c r="Q42" s="6"/>
      <c r="R42" s="7"/>
      <c r="S42" s="6"/>
      <c r="T42" s="6"/>
      <c r="U42" s="6"/>
      <c r="V42" s="6"/>
    </row>
    <row r="43" spans="1:22" x14ac:dyDescent="0.25">
      <c r="A43" s="6"/>
      <c r="B43" s="6"/>
      <c r="C43" s="6"/>
      <c r="D43" s="6"/>
      <c r="E43" s="6"/>
      <c r="F43" s="6"/>
      <c r="G43" s="6"/>
      <c r="H43" s="6"/>
      <c r="I43" s="6"/>
      <c r="J43" s="7"/>
      <c r="K43" s="6"/>
      <c r="L43" s="6"/>
      <c r="M43" s="7"/>
      <c r="N43" s="7"/>
      <c r="O43" s="6"/>
      <c r="P43" s="6"/>
      <c r="Q43" s="6"/>
      <c r="R43" s="7"/>
      <c r="S43" s="6"/>
      <c r="T43" s="6"/>
      <c r="U43" s="6"/>
      <c r="V43" s="6"/>
    </row>
    <row r="44" spans="1:22" x14ac:dyDescent="0.25">
      <c r="A44" s="6"/>
      <c r="B44" s="6"/>
      <c r="C44" s="6"/>
      <c r="D44" s="6"/>
      <c r="E44" s="6"/>
      <c r="F44" s="6"/>
      <c r="G44" s="6"/>
      <c r="H44" s="6"/>
      <c r="I44" s="6"/>
      <c r="J44" s="7"/>
      <c r="K44" s="6"/>
      <c r="L44" s="6"/>
      <c r="M44" s="7"/>
      <c r="N44" s="7"/>
      <c r="O44" s="6"/>
      <c r="P44" s="6"/>
      <c r="Q44" s="6"/>
      <c r="R44" s="7"/>
      <c r="S44" s="6"/>
      <c r="T44" s="6"/>
      <c r="U44" s="6"/>
      <c r="V44" s="6"/>
    </row>
    <row r="45" spans="1:22" x14ac:dyDescent="0.25">
      <c r="A45" s="6"/>
      <c r="B45" s="6"/>
      <c r="C45" s="6"/>
      <c r="D45" s="6"/>
      <c r="E45" s="6"/>
      <c r="F45" s="6"/>
      <c r="G45" s="6"/>
      <c r="H45" s="6"/>
      <c r="I45" s="6"/>
      <c r="J45" s="7"/>
      <c r="K45" s="6"/>
      <c r="L45" s="6"/>
      <c r="M45" s="7"/>
      <c r="N45" s="7"/>
      <c r="O45" s="6"/>
      <c r="P45" s="6"/>
      <c r="Q45" s="6"/>
      <c r="R45" s="7"/>
      <c r="S45" s="6"/>
      <c r="T45" s="6"/>
      <c r="U45" s="6"/>
      <c r="V45" s="6"/>
    </row>
    <row r="46" spans="1:22" x14ac:dyDescent="0.25">
      <c r="A46" s="6"/>
      <c r="B46" s="6"/>
      <c r="C46" s="6"/>
      <c r="D46" s="6"/>
      <c r="E46" s="6"/>
      <c r="F46" s="6"/>
      <c r="G46" s="6"/>
      <c r="H46" s="6"/>
      <c r="I46" s="6"/>
      <c r="J46" s="7"/>
      <c r="K46" s="6"/>
      <c r="L46" s="6"/>
      <c r="M46" s="7"/>
      <c r="N46" s="7"/>
      <c r="O46" s="6"/>
      <c r="P46" s="6"/>
      <c r="Q46" s="6"/>
      <c r="R46" s="7"/>
      <c r="S46" s="6"/>
      <c r="T46" s="6"/>
      <c r="U46" s="6"/>
      <c r="V46" s="6"/>
    </row>
    <row r="47" spans="1:22" x14ac:dyDescent="0.25">
      <c r="A47" s="6"/>
      <c r="B47" s="6"/>
      <c r="C47" s="6"/>
      <c r="D47" s="6"/>
      <c r="E47" s="6"/>
      <c r="F47" s="6"/>
      <c r="G47" s="6"/>
      <c r="H47" s="6"/>
      <c r="I47" s="6"/>
      <c r="J47" s="7"/>
      <c r="K47" s="6"/>
      <c r="L47" s="6"/>
      <c r="M47" s="7"/>
      <c r="N47" s="7"/>
      <c r="O47" s="6"/>
      <c r="P47" s="6"/>
      <c r="Q47" s="6"/>
      <c r="R47" s="7"/>
      <c r="S47" s="6"/>
      <c r="T47" s="6"/>
      <c r="U47" s="6"/>
      <c r="V47" s="6"/>
    </row>
    <row r="48" spans="1:22" x14ac:dyDescent="0.25">
      <c r="A48" s="6"/>
      <c r="B48" s="6"/>
      <c r="C48" s="6"/>
      <c r="D48" s="6"/>
      <c r="E48" s="6"/>
      <c r="F48" s="6"/>
      <c r="G48" s="6"/>
      <c r="H48" s="6"/>
      <c r="I48" s="6"/>
      <c r="J48" s="7"/>
      <c r="K48" s="6"/>
      <c r="L48" s="6"/>
      <c r="M48" s="7"/>
      <c r="N48" s="7"/>
      <c r="O48" s="6"/>
      <c r="P48" s="6"/>
      <c r="Q48" s="6"/>
      <c r="R48" s="7"/>
      <c r="S48" s="6"/>
      <c r="T48" s="6"/>
      <c r="U48" s="6"/>
      <c r="V48" s="6"/>
    </row>
    <row r="49" spans="1:22" x14ac:dyDescent="0.25">
      <c r="A49" s="6"/>
      <c r="B49" s="6"/>
      <c r="C49" s="6"/>
      <c r="D49" s="6"/>
      <c r="E49" s="6"/>
      <c r="F49" s="6"/>
      <c r="G49" s="6"/>
      <c r="H49" s="6"/>
      <c r="I49" s="6"/>
      <c r="J49" s="7"/>
      <c r="K49" s="6"/>
      <c r="L49" s="6"/>
      <c r="M49" s="7"/>
      <c r="N49" s="7"/>
      <c r="O49" s="6"/>
      <c r="P49" s="6"/>
      <c r="Q49" s="6"/>
      <c r="R49" s="7"/>
      <c r="S49" s="6"/>
      <c r="T49" s="6"/>
      <c r="U49" s="6"/>
      <c r="V49" s="6"/>
    </row>
    <row r="50" spans="1:22" x14ac:dyDescent="0.25">
      <c r="A50" s="6"/>
      <c r="B50" s="6"/>
      <c r="C50" s="6"/>
      <c r="D50" s="6"/>
      <c r="E50" s="6"/>
      <c r="F50" s="6"/>
      <c r="G50" s="6"/>
      <c r="H50" s="6"/>
      <c r="I50" s="6"/>
      <c r="J50" s="7"/>
      <c r="K50" s="6"/>
      <c r="L50" s="6"/>
      <c r="M50" s="7"/>
      <c r="N50" s="7"/>
      <c r="O50" s="6"/>
      <c r="P50" s="6"/>
      <c r="Q50" s="6"/>
      <c r="R50" s="7"/>
      <c r="S50" s="6"/>
      <c r="T50" s="6"/>
      <c r="U50" s="6"/>
      <c r="V50" s="6"/>
    </row>
    <row r="51" spans="1:22" x14ac:dyDescent="0.25">
      <c r="A51" s="6"/>
      <c r="B51" s="6"/>
      <c r="C51" s="6"/>
      <c r="D51" s="6"/>
      <c r="E51" s="6"/>
      <c r="F51" s="6"/>
      <c r="G51" s="6"/>
      <c r="H51" s="6"/>
      <c r="I51" s="6"/>
      <c r="J51" s="7"/>
      <c r="K51" s="6"/>
      <c r="L51" s="6"/>
      <c r="M51" s="7"/>
      <c r="N51" s="7"/>
      <c r="O51" s="6"/>
      <c r="P51" s="6"/>
      <c r="Q51" s="6"/>
      <c r="R51" s="7"/>
      <c r="S51" s="6"/>
      <c r="T51" s="6"/>
      <c r="U51" s="6"/>
      <c r="V51" s="6"/>
    </row>
    <row r="52" spans="1:22" x14ac:dyDescent="0.25">
      <c r="A52" s="6"/>
      <c r="B52" s="6"/>
      <c r="C52" s="6"/>
      <c r="D52" s="6"/>
      <c r="E52" s="6"/>
      <c r="F52" s="6"/>
      <c r="G52" s="6"/>
      <c r="H52" s="6"/>
      <c r="I52" s="6"/>
      <c r="J52" s="7"/>
      <c r="K52" s="6"/>
      <c r="L52" s="6"/>
      <c r="M52" s="7"/>
      <c r="N52" s="7"/>
      <c r="O52" s="6"/>
      <c r="P52" s="6"/>
      <c r="Q52" s="6"/>
      <c r="R52" s="7"/>
      <c r="S52" s="6"/>
      <c r="T52" s="6"/>
      <c r="U52" s="6"/>
      <c r="V52" s="6"/>
    </row>
    <row r="53" spans="1:22" x14ac:dyDescent="0.25">
      <c r="A53" s="6"/>
      <c r="B53" s="6"/>
      <c r="C53" s="6"/>
      <c r="D53" s="6"/>
      <c r="E53" s="6"/>
      <c r="F53" s="6"/>
      <c r="G53" s="6"/>
      <c r="H53" s="6"/>
      <c r="I53" s="6"/>
      <c r="J53" s="7"/>
      <c r="K53" s="6"/>
      <c r="L53" s="6"/>
      <c r="M53" s="7"/>
      <c r="N53" s="7"/>
      <c r="O53" s="6"/>
      <c r="P53" s="6"/>
      <c r="Q53" s="6"/>
      <c r="R53" s="7"/>
      <c r="S53" s="6"/>
      <c r="T53" s="6"/>
      <c r="U53" s="6"/>
      <c r="V53" s="6"/>
    </row>
    <row r="54" spans="1:22" x14ac:dyDescent="0.25">
      <c r="A54" s="6"/>
      <c r="B54" s="6"/>
      <c r="C54" s="6"/>
      <c r="D54" s="6"/>
      <c r="E54" s="6"/>
      <c r="F54" s="6"/>
      <c r="G54" s="6"/>
      <c r="H54" s="6"/>
      <c r="I54" s="6"/>
      <c r="J54" s="7"/>
      <c r="K54" s="6"/>
      <c r="L54" s="6"/>
      <c r="M54" s="7"/>
      <c r="N54" s="7"/>
      <c r="O54" s="6"/>
      <c r="P54" s="6"/>
      <c r="Q54" s="6"/>
      <c r="R54" s="7"/>
      <c r="S54" s="6"/>
      <c r="T54" s="6"/>
      <c r="U54" s="6"/>
      <c r="V54" s="6"/>
    </row>
    <row r="55" spans="1:22" x14ac:dyDescent="0.25">
      <c r="A55" s="6"/>
      <c r="B55" s="6"/>
      <c r="C55" s="6"/>
      <c r="D55" s="6"/>
      <c r="E55" s="6"/>
      <c r="F55" s="6"/>
      <c r="G55" s="6"/>
      <c r="H55" s="6"/>
      <c r="I55" s="6"/>
      <c r="J55" s="7"/>
      <c r="K55" s="6"/>
      <c r="L55" s="6"/>
      <c r="M55" s="7"/>
      <c r="N55" s="7"/>
      <c r="O55" s="6"/>
      <c r="P55" s="6"/>
      <c r="Q55" s="6"/>
      <c r="R55" s="7"/>
      <c r="S55" s="6"/>
      <c r="T55" s="6"/>
      <c r="U55" s="6"/>
      <c r="V55" s="6"/>
    </row>
    <row r="56" spans="1:22" x14ac:dyDescent="0.25">
      <c r="A56" s="6"/>
      <c r="B56" s="6"/>
      <c r="C56" s="6"/>
      <c r="D56" s="6"/>
      <c r="E56" s="6"/>
      <c r="F56" s="6"/>
      <c r="G56" s="6"/>
      <c r="H56" s="6"/>
      <c r="I56" s="6"/>
      <c r="J56" s="7"/>
      <c r="K56" s="6"/>
      <c r="L56" s="6"/>
      <c r="M56" s="7"/>
      <c r="N56" s="7"/>
      <c r="O56" s="6"/>
      <c r="P56" s="6"/>
      <c r="Q56" s="6"/>
      <c r="R56" s="7"/>
      <c r="S56" s="6"/>
      <c r="T56" s="6"/>
      <c r="U56" s="6"/>
      <c r="V56" s="6"/>
    </row>
    <row r="57" spans="1:22" x14ac:dyDescent="0.25">
      <c r="A57" s="6"/>
      <c r="B57" s="6"/>
      <c r="C57" s="6"/>
      <c r="D57" s="6"/>
      <c r="E57" s="6"/>
      <c r="F57" s="6"/>
      <c r="G57" s="6"/>
      <c r="H57" s="6"/>
      <c r="I57" s="6"/>
      <c r="J57" s="7"/>
      <c r="K57" s="6"/>
      <c r="L57" s="6"/>
      <c r="M57" s="7"/>
      <c r="N57" s="7"/>
      <c r="O57" s="6"/>
      <c r="P57" s="6"/>
      <c r="Q57" s="6"/>
      <c r="R57" s="7"/>
      <c r="S57" s="6"/>
      <c r="T57" s="6"/>
      <c r="U57" s="6"/>
      <c r="V57" s="6"/>
    </row>
    <row r="58" spans="1:22" x14ac:dyDescent="0.25">
      <c r="A58" s="6"/>
      <c r="B58" s="6"/>
      <c r="C58" s="6"/>
      <c r="D58" s="6"/>
      <c r="E58" s="6"/>
      <c r="F58" s="6"/>
      <c r="G58" s="6"/>
      <c r="H58" s="6"/>
      <c r="I58" s="6"/>
      <c r="J58" s="7"/>
      <c r="K58" s="6"/>
      <c r="L58" s="6"/>
      <c r="M58" s="7"/>
      <c r="N58" s="7"/>
      <c r="O58" s="6"/>
      <c r="P58" s="6"/>
      <c r="Q58" s="6"/>
      <c r="R58" s="7"/>
      <c r="S58" s="6"/>
      <c r="T58" s="6"/>
      <c r="U58" s="6"/>
      <c r="V58" s="6"/>
    </row>
    <row r="59" spans="1:22" x14ac:dyDescent="0.25">
      <c r="A59" s="6"/>
      <c r="B59" s="6"/>
      <c r="C59" s="6"/>
      <c r="D59" s="6"/>
      <c r="E59" s="6"/>
      <c r="F59" s="6"/>
      <c r="G59" s="6"/>
      <c r="H59" s="6"/>
      <c r="I59" s="6"/>
      <c r="J59" s="7"/>
      <c r="K59" s="6"/>
      <c r="L59" s="6"/>
      <c r="M59" s="7"/>
      <c r="N59" s="7"/>
      <c r="O59" s="6"/>
      <c r="P59" s="6"/>
      <c r="Q59" s="6"/>
      <c r="R59" s="7"/>
      <c r="S59" s="6"/>
      <c r="T59" s="6"/>
      <c r="U59" s="6"/>
      <c r="V59" s="6"/>
    </row>
    <row r="60" spans="1:22" x14ac:dyDescent="0.25">
      <c r="A60" s="6"/>
      <c r="B60" s="6"/>
      <c r="C60" s="6"/>
      <c r="D60" s="6"/>
      <c r="E60" s="6"/>
      <c r="F60" s="6"/>
      <c r="G60" s="6"/>
      <c r="H60" s="6"/>
      <c r="I60" s="6"/>
      <c r="J60" s="7"/>
      <c r="K60" s="6"/>
      <c r="L60" s="6"/>
      <c r="M60" s="7"/>
      <c r="N60" s="7"/>
      <c r="O60" s="6"/>
      <c r="P60" s="6"/>
      <c r="Q60" s="6"/>
      <c r="R60" s="7"/>
      <c r="S60" s="6"/>
      <c r="T60" s="6"/>
      <c r="U60" s="6"/>
      <c r="V60" s="6"/>
    </row>
    <row r="61" spans="1:22" x14ac:dyDescent="0.25">
      <c r="A61" s="6"/>
      <c r="B61" s="6"/>
      <c r="C61" s="6"/>
      <c r="D61" s="6"/>
      <c r="E61" s="6"/>
      <c r="F61" s="6"/>
      <c r="G61" s="6"/>
      <c r="H61" s="6"/>
      <c r="I61" s="6"/>
      <c r="J61" s="7"/>
      <c r="K61" s="6"/>
      <c r="L61" s="6"/>
      <c r="M61" s="7"/>
      <c r="N61" s="7"/>
      <c r="O61" s="6"/>
      <c r="P61" s="6"/>
      <c r="Q61" s="6"/>
      <c r="R61" s="7"/>
      <c r="S61" s="6"/>
      <c r="T61" s="6"/>
      <c r="U61" s="6"/>
      <c r="V61" s="6"/>
    </row>
    <row r="62" spans="1:22" x14ac:dyDescent="0.25">
      <c r="A62" s="6"/>
      <c r="B62" s="6"/>
      <c r="C62" s="6"/>
      <c r="D62" s="6"/>
      <c r="E62" s="6"/>
      <c r="F62" s="6"/>
      <c r="G62" s="6"/>
      <c r="H62" s="6"/>
      <c r="I62" s="6"/>
      <c r="J62" s="7"/>
      <c r="K62" s="6"/>
      <c r="L62" s="6"/>
      <c r="M62" s="7"/>
      <c r="N62" s="7"/>
      <c r="O62" s="6"/>
      <c r="P62" s="6"/>
      <c r="Q62" s="6"/>
      <c r="R62" s="7"/>
      <c r="S62" s="6"/>
      <c r="T62" s="6"/>
      <c r="U62" s="6"/>
      <c r="V62" s="6"/>
    </row>
    <row r="63" spans="1:22" x14ac:dyDescent="0.25">
      <c r="A63" s="6"/>
      <c r="B63" s="6"/>
      <c r="C63" s="6"/>
      <c r="D63" s="6"/>
      <c r="E63" s="6"/>
      <c r="F63" s="6"/>
      <c r="G63" s="6"/>
      <c r="H63" s="6"/>
      <c r="I63" s="6"/>
      <c r="J63" s="7"/>
      <c r="K63" s="6"/>
      <c r="L63" s="6"/>
      <c r="M63" s="7"/>
      <c r="N63" s="7"/>
      <c r="O63" s="6"/>
      <c r="P63" s="6"/>
      <c r="Q63" s="6"/>
      <c r="R63" s="7"/>
      <c r="S63" s="6"/>
      <c r="T63" s="6"/>
      <c r="U63" s="6"/>
      <c r="V63" s="6"/>
    </row>
    <row r="64" spans="1:22" x14ac:dyDescent="0.25">
      <c r="A64" s="6"/>
      <c r="B64" s="6"/>
      <c r="C64" s="6"/>
      <c r="D64" s="6"/>
      <c r="E64" s="6"/>
      <c r="F64" s="6"/>
      <c r="G64" s="6"/>
      <c r="H64" s="6"/>
      <c r="I64" s="6"/>
      <c r="J64" s="7"/>
      <c r="K64" s="6"/>
      <c r="L64" s="6"/>
      <c r="M64" s="7"/>
      <c r="N64" s="7"/>
      <c r="O64" s="6"/>
      <c r="P64" s="6"/>
      <c r="Q64" s="6"/>
      <c r="R64" s="7"/>
      <c r="S64" s="6"/>
      <c r="T64" s="6"/>
      <c r="U64" s="6"/>
      <c r="V64" s="6"/>
    </row>
    <row r="65" spans="1:22" x14ac:dyDescent="0.25">
      <c r="A65" s="6"/>
      <c r="B65" s="6"/>
      <c r="C65" s="6"/>
      <c r="D65" s="6"/>
      <c r="E65" s="6"/>
      <c r="F65" s="6"/>
      <c r="G65" s="6"/>
      <c r="H65" s="6"/>
      <c r="I65" s="6"/>
      <c r="J65" s="7"/>
      <c r="K65" s="6"/>
      <c r="L65" s="6"/>
      <c r="M65" s="7"/>
      <c r="N65" s="7"/>
      <c r="O65" s="6"/>
      <c r="P65" s="6"/>
      <c r="Q65" s="6"/>
      <c r="R65" s="7"/>
      <c r="S65" s="6"/>
      <c r="T65" s="6"/>
      <c r="U65" s="6"/>
      <c r="V65" s="6"/>
    </row>
    <row r="66" spans="1:22" x14ac:dyDescent="0.25">
      <c r="A66" s="6"/>
      <c r="B66" s="6"/>
      <c r="C66" s="6"/>
      <c r="D66" s="6"/>
      <c r="E66" s="6"/>
      <c r="F66" s="6"/>
      <c r="G66" s="6"/>
      <c r="H66" s="6"/>
      <c r="I66" s="6"/>
      <c r="J66" s="7"/>
      <c r="K66" s="6"/>
      <c r="L66" s="6"/>
      <c r="M66" s="7"/>
      <c r="N66" s="7"/>
      <c r="O66" s="6"/>
      <c r="P66" s="6"/>
      <c r="Q66" s="6"/>
      <c r="R66" s="7"/>
      <c r="S66" s="6"/>
      <c r="T66" s="6"/>
      <c r="U66" s="6"/>
      <c r="V66" s="6"/>
    </row>
    <row r="67" spans="1:22" x14ac:dyDescent="0.25">
      <c r="A67" s="6"/>
      <c r="B67" s="6"/>
      <c r="C67" s="6"/>
      <c r="D67" s="6"/>
      <c r="E67" s="6"/>
      <c r="F67" s="6"/>
      <c r="G67" s="6"/>
      <c r="H67" s="6"/>
      <c r="I67" s="6"/>
      <c r="J67" s="7"/>
      <c r="K67" s="6"/>
      <c r="L67" s="6"/>
      <c r="M67" s="7"/>
      <c r="N67" s="7"/>
      <c r="O67" s="6"/>
      <c r="P67" s="6"/>
      <c r="Q67" s="6"/>
      <c r="R67" s="7"/>
      <c r="S67" s="6"/>
      <c r="T67" s="6"/>
      <c r="U67" s="6"/>
      <c r="V67" s="6"/>
    </row>
    <row r="68" spans="1:22" x14ac:dyDescent="0.25">
      <c r="A68" s="6"/>
      <c r="B68" s="6"/>
      <c r="C68" s="6"/>
      <c r="D68" s="6"/>
      <c r="E68" s="6"/>
      <c r="F68" s="6"/>
      <c r="G68" s="6"/>
      <c r="H68" s="6"/>
      <c r="I68" s="6"/>
      <c r="J68" s="7"/>
      <c r="K68" s="6"/>
      <c r="L68" s="6"/>
      <c r="M68" s="7"/>
      <c r="N68" s="7"/>
      <c r="O68" s="6"/>
      <c r="P68" s="6"/>
      <c r="Q68" s="6"/>
      <c r="R68" s="7"/>
      <c r="S68" s="6"/>
      <c r="T68" s="6"/>
      <c r="U68" s="6"/>
      <c r="V68" s="6"/>
    </row>
    <row r="69" spans="1:22" x14ac:dyDescent="0.25">
      <c r="A69" s="6"/>
      <c r="B69" s="6"/>
      <c r="C69" s="6"/>
      <c r="D69" s="6"/>
      <c r="E69" s="6"/>
      <c r="F69" s="6"/>
      <c r="G69" s="6"/>
      <c r="H69" s="6"/>
      <c r="I69" s="6"/>
      <c r="J69" s="7"/>
      <c r="K69" s="6"/>
      <c r="L69" s="6"/>
      <c r="M69" s="7"/>
      <c r="N69" s="7"/>
      <c r="O69" s="6"/>
      <c r="P69" s="6"/>
      <c r="Q69" s="6"/>
      <c r="R69" s="7"/>
      <c r="S69" s="6"/>
      <c r="T69" s="6"/>
      <c r="U69" s="6"/>
      <c r="V69" s="6"/>
    </row>
    <row r="70" spans="1:22" x14ac:dyDescent="0.25">
      <c r="A70" s="6"/>
      <c r="B70" s="6"/>
      <c r="C70" s="6"/>
      <c r="D70" s="6"/>
      <c r="E70" s="6"/>
      <c r="F70" s="6"/>
      <c r="G70" s="6"/>
      <c r="H70" s="6"/>
      <c r="I70" s="6"/>
      <c r="J70" s="7"/>
      <c r="K70" s="6"/>
      <c r="L70" s="6"/>
      <c r="M70" s="7"/>
      <c r="N70" s="7"/>
      <c r="O70" s="6"/>
      <c r="P70" s="6"/>
      <c r="Q70" s="6"/>
      <c r="R70" s="7"/>
      <c r="S70" s="6"/>
      <c r="T70" s="6"/>
      <c r="U70" s="6"/>
      <c r="V70" s="6"/>
    </row>
    <row r="71" spans="1:22" x14ac:dyDescent="0.25">
      <c r="A71" s="6"/>
      <c r="B71" s="6"/>
      <c r="C71" s="6"/>
      <c r="D71" s="6"/>
      <c r="E71" s="6"/>
      <c r="F71" s="6"/>
      <c r="G71" s="6"/>
      <c r="H71" s="6"/>
      <c r="I71" s="6"/>
      <c r="J71" s="7"/>
      <c r="K71" s="6"/>
      <c r="L71" s="6"/>
      <c r="M71" s="7"/>
      <c r="N71" s="7"/>
      <c r="O71" s="6"/>
      <c r="P71" s="6"/>
      <c r="Q71" s="6"/>
      <c r="R71" s="7"/>
      <c r="S71" s="6"/>
      <c r="T71" s="6"/>
      <c r="U71" s="6"/>
      <c r="V71" s="6"/>
    </row>
    <row r="72" spans="1:22" x14ac:dyDescent="0.25">
      <c r="A72" s="6"/>
      <c r="B72" s="6"/>
      <c r="C72" s="6"/>
      <c r="D72" s="6"/>
      <c r="E72" s="6"/>
      <c r="F72" s="6"/>
      <c r="G72" s="6"/>
      <c r="H72" s="6"/>
      <c r="I72" s="6"/>
      <c r="J72" s="7"/>
      <c r="K72" s="6"/>
      <c r="L72" s="6"/>
      <c r="M72" s="7"/>
      <c r="N72" s="7"/>
      <c r="O72" s="6"/>
      <c r="P72" s="6"/>
      <c r="Q72" s="6"/>
      <c r="R72" s="7"/>
      <c r="S72" s="6"/>
      <c r="T72" s="6"/>
      <c r="U72" s="6"/>
      <c r="V72" s="6"/>
    </row>
    <row r="73" spans="1:22" x14ac:dyDescent="0.25">
      <c r="A73" s="6"/>
      <c r="B73" s="6"/>
      <c r="C73" s="6"/>
      <c r="D73" s="6"/>
      <c r="E73" s="6"/>
      <c r="F73" s="6"/>
      <c r="G73" s="6"/>
      <c r="H73" s="6"/>
      <c r="I73" s="6"/>
      <c r="J73" s="7"/>
      <c r="K73" s="6"/>
      <c r="L73" s="6"/>
      <c r="M73" s="7"/>
      <c r="N73" s="7"/>
      <c r="O73" s="6"/>
      <c r="P73" s="6"/>
      <c r="Q73" s="6"/>
      <c r="R73" s="7"/>
      <c r="S73" s="6"/>
      <c r="T73" s="6"/>
      <c r="U73" s="6"/>
      <c r="V73" s="6"/>
    </row>
    <row r="74" spans="1:22" x14ac:dyDescent="0.25">
      <c r="A74" s="6"/>
      <c r="B74" s="6"/>
      <c r="C74" s="6"/>
      <c r="D74" s="6"/>
      <c r="E74" s="6"/>
      <c r="F74" s="6"/>
      <c r="G74" s="6"/>
      <c r="H74" s="6"/>
      <c r="I74" s="6"/>
      <c r="J74" s="7"/>
      <c r="K74" s="6"/>
      <c r="L74" s="6"/>
      <c r="M74" s="7"/>
      <c r="N74" s="7"/>
      <c r="O74" s="6"/>
      <c r="P74" s="6"/>
      <c r="Q74" s="6"/>
      <c r="R74" s="7"/>
      <c r="S74" s="6"/>
      <c r="T74" s="6"/>
      <c r="U74" s="6"/>
      <c r="V74" s="6"/>
    </row>
    <row r="75" spans="1:22" x14ac:dyDescent="0.25">
      <c r="A75" s="6"/>
      <c r="B75" s="6"/>
      <c r="C75" s="6"/>
      <c r="D75" s="6"/>
      <c r="E75" s="6"/>
      <c r="F75" s="6"/>
      <c r="G75" s="6"/>
      <c r="H75" s="6"/>
      <c r="I75" s="6"/>
      <c r="J75" s="7"/>
      <c r="K75" s="6"/>
      <c r="L75" s="6"/>
      <c r="M75" s="7"/>
      <c r="N75" s="7"/>
      <c r="O75" s="6"/>
      <c r="P75" s="6"/>
      <c r="Q75" s="6"/>
      <c r="R75" s="7"/>
      <c r="S75" s="6"/>
      <c r="T75" s="6"/>
      <c r="U75" s="6"/>
      <c r="V75" s="6"/>
    </row>
    <row r="76" spans="1:22" x14ac:dyDescent="0.25">
      <c r="A76" s="6"/>
      <c r="B76" s="6"/>
      <c r="C76" s="6"/>
      <c r="D76" s="6"/>
      <c r="E76" s="6"/>
      <c r="F76" s="6"/>
      <c r="G76" s="6"/>
      <c r="H76" s="6"/>
      <c r="I76" s="6"/>
      <c r="J76" s="7"/>
      <c r="K76" s="6"/>
      <c r="L76" s="6"/>
      <c r="M76" s="7"/>
      <c r="N76" s="7"/>
      <c r="O76" s="6"/>
      <c r="P76" s="6"/>
      <c r="Q76" s="6"/>
      <c r="R76" s="7"/>
      <c r="S76" s="6"/>
      <c r="T76" s="6"/>
      <c r="U76" s="6"/>
      <c r="V76" s="6"/>
    </row>
    <row r="77" spans="1:22" x14ac:dyDescent="0.25">
      <c r="A77" s="6"/>
      <c r="B77" s="6"/>
      <c r="C77" s="6"/>
      <c r="D77" s="6"/>
      <c r="E77" s="6"/>
      <c r="F77" s="6"/>
      <c r="G77" s="6"/>
      <c r="H77" s="6"/>
      <c r="I77" s="6"/>
      <c r="J77" s="7"/>
      <c r="K77" s="6"/>
      <c r="L77" s="6"/>
      <c r="M77" s="7"/>
      <c r="N77" s="7"/>
      <c r="O77" s="6"/>
      <c r="P77" s="6"/>
      <c r="Q77" s="6"/>
      <c r="R77" s="7"/>
      <c r="S77" s="6"/>
      <c r="T77" s="6"/>
      <c r="U77" s="6"/>
      <c r="V77" s="6"/>
    </row>
    <row r="78" spans="1:22" x14ac:dyDescent="0.25">
      <c r="A78" s="6"/>
      <c r="B78" s="6"/>
      <c r="C78" s="6"/>
      <c r="D78" s="6"/>
      <c r="E78" s="6"/>
      <c r="F78" s="6"/>
      <c r="G78" s="6"/>
      <c r="H78" s="6"/>
      <c r="I78" s="6"/>
      <c r="J78" s="7"/>
      <c r="K78" s="6"/>
      <c r="L78" s="6"/>
      <c r="M78" s="7"/>
      <c r="N78" s="7"/>
      <c r="O78" s="6"/>
      <c r="P78" s="6"/>
      <c r="Q78" s="6"/>
      <c r="R78" s="7"/>
      <c r="S78" s="6"/>
      <c r="T78" s="6"/>
      <c r="U78" s="6"/>
      <c r="V78" s="6"/>
    </row>
    <row r="79" spans="1:22" x14ac:dyDescent="0.25">
      <c r="A79" s="6"/>
      <c r="B79" s="6"/>
      <c r="C79" s="6"/>
      <c r="D79" s="6"/>
      <c r="E79" s="6"/>
      <c r="F79" s="6"/>
      <c r="G79" s="6"/>
      <c r="H79" s="6"/>
      <c r="I79" s="6"/>
      <c r="J79" s="7"/>
      <c r="K79" s="6"/>
      <c r="L79" s="6"/>
      <c r="M79" s="7"/>
      <c r="N79" s="7"/>
      <c r="O79" s="6"/>
      <c r="P79" s="6"/>
      <c r="Q79" s="6"/>
      <c r="R79" s="7"/>
      <c r="S79" s="6"/>
      <c r="T79" s="6"/>
      <c r="U79" s="6"/>
      <c r="V79" s="6"/>
    </row>
    <row r="80" spans="1:22" x14ac:dyDescent="0.25">
      <c r="A80" s="6"/>
      <c r="B80" s="6"/>
      <c r="C80" s="6"/>
      <c r="D80" s="6"/>
      <c r="E80" s="6"/>
      <c r="F80" s="6"/>
      <c r="G80" s="6"/>
      <c r="H80" s="6"/>
      <c r="I80" s="6"/>
      <c r="J80" s="7"/>
      <c r="K80" s="6"/>
      <c r="L80" s="6"/>
      <c r="M80" s="7"/>
      <c r="N80" s="7"/>
      <c r="O80" s="6"/>
      <c r="P80" s="6"/>
      <c r="Q80" s="6"/>
      <c r="R80" s="7"/>
      <c r="S80" s="6"/>
      <c r="T80" s="6"/>
      <c r="U80" s="6"/>
      <c r="V80" s="6"/>
    </row>
    <row r="81" spans="1:22" x14ac:dyDescent="0.25">
      <c r="A81" s="6"/>
      <c r="B81" s="6"/>
      <c r="C81" s="6"/>
      <c r="D81" s="6"/>
      <c r="E81" s="6"/>
      <c r="F81" s="6"/>
      <c r="G81" s="6"/>
      <c r="H81" s="6"/>
      <c r="I81" s="6"/>
      <c r="J81" s="7"/>
      <c r="K81" s="6"/>
      <c r="L81" s="6"/>
      <c r="M81" s="7"/>
      <c r="N81" s="7"/>
      <c r="O81" s="6"/>
      <c r="P81" s="6"/>
      <c r="Q81" s="6"/>
      <c r="R81" s="7"/>
      <c r="S81" s="6"/>
      <c r="T81" s="6"/>
      <c r="U81" s="6"/>
      <c r="V81" s="6"/>
    </row>
    <row r="82" spans="1:22" x14ac:dyDescent="0.25">
      <c r="A82" s="6"/>
      <c r="B82" s="6"/>
      <c r="C82" s="6"/>
      <c r="D82" s="6"/>
      <c r="E82" s="6"/>
      <c r="F82" s="6"/>
      <c r="G82" s="6"/>
      <c r="H82" s="6"/>
      <c r="I82" s="6"/>
      <c r="J82" s="7"/>
      <c r="K82" s="6"/>
      <c r="L82" s="6"/>
      <c r="M82" s="7"/>
      <c r="N82" s="7"/>
      <c r="O82" s="6"/>
      <c r="P82" s="6"/>
      <c r="Q82" s="6"/>
      <c r="R82" s="7"/>
      <c r="S82" s="6"/>
      <c r="T82" s="6"/>
      <c r="U82" s="6"/>
      <c r="V82" s="6"/>
    </row>
    <row r="83" spans="1:22" x14ac:dyDescent="0.25">
      <c r="A83" s="6"/>
      <c r="B83" s="6"/>
      <c r="C83" s="6"/>
      <c r="D83" s="6"/>
      <c r="E83" s="6"/>
      <c r="F83" s="6"/>
      <c r="G83" s="6"/>
      <c r="H83" s="6"/>
      <c r="I83" s="6"/>
      <c r="J83" s="7"/>
      <c r="K83" s="6"/>
      <c r="L83" s="6"/>
      <c r="M83" s="7"/>
      <c r="N83" s="7"/>
      <c r="O83" s="6"/>
      <c r="P83" s="6"/>
      <c r="Q83" s="6"/>
      <c r="R83" s="7"/>
      <c r="S83" s="6"/>
      <c r="T83" s="6"/>
      <c r="U83" s="6"/>
      <c r="V83" s="6"/>
    </row>
    <row r="84" spans="1:22" x14ac:dyDescent="0.25">
      <c r="A84" s="6"/>
      <c r="B84" s="6"/>
      <c r="C84" s="6"/>
      <c r="D84" s="6"/>
      <c r="E84" s="6"/>
      <c r="F84" s="6"/>
      <c r="G84" s="6"/>
      <c r="H84" s="6"/>
      <c r="I84" s="6"/>
      <c r="J84" s="7"/>
      <c r="K84" s="6"/>
      <c r="L84" s="6"/>
      <c r="M84" s="7"/>
      <c r="N84" s="7"/>
      <c r="O84" s="6"/>
      <c r="P84" s="6"/>
      <c r="Q84" s="6"/>
      <c r="R84" s="7"/>
      <c r="S84" s="6"/>
      <c r="T84" s="6"/>
      <c r="U84" s="6"/>
      <c r="V84" s="6"/>
    </row>
    <row r="85" spans="1:22" x14ac:dyDescent="0.25">
      <c r="A85" s="6"/>
      <c r="B85" s="6"/>
      <c r="C85" s="6"/>
      <c r="D85" s="6"/>
      <c r="E85" s="6"/>
      <c r="F85" s="6"/>
      <c r="G85" s="6"/>
      <c r="H85" s="6"/>
      <c r="I85" s="6"/>
      <c r="J85" s="7"/>
      <c r="K85" s="6"/>
      <c r="L85" s="6"/>
      <c r="M85" s="7"/>
      <c r="N85" s="7"/>
      <c r="O85" s="6"/>
      <c r="P85" s="6"/>
      <c r="Q85" s="6"/>
      <c r="R85" s="7"/>
      <c r="S85" s="6"/>
      <c r="T85" s="6"/>
      <c r="U85" s="6"/>
      <c r="V85" s="6"/>
    </row>
    <row r="86" spans="1:22" x14ac:dyDescent="0.25">
      <c r="A86" s="6"/>
      <c r="B86" s="6"/>
      <c r="C86" s="6"/>
      <c r="D86" s="6"/>
      <c r="E86" s="6"/>
      <c r="F86" s="6"/>
      <c r="G86" s="6"/>
      <c r="H86" s="6"/>
      <c r="I86" s="6"/>
      <c r="J86" s="7"/>
      <c r="K86" s="6"/>
      <c r="L86" s="6"/>
      <c r="M86" s="7"/>
      <c r="N86" s="7"/>
      <c r="O86" s="6"/>
      <c r="P86" s="6"/>
      <c r="Q86" s="6"/>
      <c r="R86" s="7"/>
      <c r="S86" s="6"/>
      <c r="T86" s="6"/>
      <c r="U86" s="6"/>
      <c r="V86" s="6"/>
    </row>
    <row r="87" spans="1:22" x14ac:dyDescent="0.25">
      <c r="A87" s="6"/>
      <c r="B87" s="6"/>
      <c r="C87" s="6"/>
      <c r="D87" s="6"/>
      <c r="E87" s="6"/>
      <c r="F87" s="6"/>
      <c r="G87" s="6"/>
      <c r="H87" s="6"/>
      <c r="I87" s="6"/>
      <c r="J87" s="7"/>
      <c r="K87" s="6"/>
      <c r="L87" s="6"/>
      <c r="M87" s="7"/>
      <c r="N87" s="7"/>
      <c r="O87" s="6"/>
      <c r="P87" s="6"/>
      <c r="Q87" s="6"/>
      <c r="R87" s="7"/>
      <c r="S87" s="6"/>
      <c r="T87" s="6"/>
      <c r="U87" s="6"/>
      <c r="V87" s="6"/>
    </row>
    <row r="88" spans="1:22" x14ac:dyDescent="0.25">
      <c r="A88" s="6"/>
      <c r="B88" s="6"/>
      <c r="C88" s="6"/>
      <c r="D88" s="6"/>
      <c r="E88" s="6"/>
      <c r="F88" s="6"/>
      <c r="G88" s="6"/>
      <c r="H88" s="6"/>
      <c r="I88" s="6"/>
      <c r="J88" s="7"/>
      <c r="K88" s="6"/>
      <c r="L88" s="6"/>
      <c r="M88" s="7"/>
      <c r="N88" s="7"/>
      <c r="O88" s="6"/>
      <c r="P88" s="6"/>
      <c r="Q88" s="6"/>
      <c r="R88" s="7"/>
      <c r="S88" s="6"/>
      <c r="T88" s="6"/>
      <c r="U88" s="6"/>
      <c r="V88" s="6"/>
    </row>
    <row r="89" spans="1:22" x14ac:dyDescent="0.25">
      <c r="A89" s="6"/>
      <c r="B89" s="6"/>
      <c r="C89" s="6"/>
      <c r="D89" s="6"/>
      <c r="E89" s="6"/>
      <c r="F89" s="6"/>
      <c r="G89" s="6"/>
      <c r="H89" s="6"/>
      <c r="I89" s="6"/>
      <c r="J89" s="7"/>
      <c r="K89" s="6"/>
      <c r="L89" s="6"/>
      <c r="M89" s="7"/>
      <c r="N89" s="7"/>
      <c r="O89" s="6"/>
      <c r="P89" s="6"/>
      <c r="Q89" s="6"/>
      <c r="R89" s="7"/>
      <c r="S89" s="6"/>
      <c r="T89" s="6"/>
      <c r="U89" s="6"/>
      <c r="V89" s="6"/>
    </row>
    <row r="90" spans="1:22" x14ac:dyDescent="0.25">
      <c r="A90" s="6"/>
      <c r="B90" s="6"/>
      <c r="C90" s="6"/>
      <c r="D90" s="6"/>
      <c r="E90" s="6"/>
      <c r="F90" s="6"/>
      <c r="G90" s="6"/>
      <c r="H90" s="6"/>
      <c r="I90" s="6"/>
      <c r="J90" s="7"/>
      <c r="K90" s="6"/>
      <c r="L90" s="6"/>
      <c r="M90" s="7"/>
      <c r="N90" s="7"/>
      <c r="O90" s="6"/>
      <c r="P90" s="6"/>
      <c r="Q90" s="6"/>
      <c r="R90" s="7"/>
      <c r="S90" s="6"/>
      <c r="T90" s="6"/>
      <c r="U90" s="6"/>
      <c r="V90" s="6"/>
    </row>
    <row r="91" spans="1:22" x14ac:dyDescent="0.25">
      <c r="A91" s="6"/>
      <c r="B91" s="6"/>
      <c r="C91" s="6"/>
      <c r="D91" s="6"/>
      <c r="E91" s="6"/>
      <c r="F91" s="6"/>
      <c r="G91" s="6"/>
      <c r="H91" s="6"/>
      <c r="I91" s="6"/>
      <c r="J91" s="7"/>
      <c r="K91" s="6"/>
      <c r="L91" s="6"/>
      <c r="M91" s="7"/>
      <c r="N91" s="7"/>
      <c r="O91" s="6"/>
      <c r="P91" s="6"/>
      <c r="Q91" s="6"/>
      <c r="R91" s="7"/>
      <c r="S91" s="6"/>
      <c r="T91" s="6"/>
      <c r="U91" s="6"/>
      <c r="V91" s="6"/>
    </row>
    <row r="92" spans="1:22" x14ac:dyDescent="0.25">
      <c r="A92" s="6"/>
      <c r="B92" s="6"/>
      <c r="C92" s="6"/>
      <c r="D92" s="6"/>
      <c r="E92" s="6"/>
      <c r="F92" s="6"/>
      <c r="G92" s="6"/>
      <c r="H92" s="6"/>
      <c r="I92" s="6"/>
      <c r="J92" s="7"/>
      <c r="K92" s="6"/>
      <c r="L92" s="6"/>
      <c r="M92" s="7"/>
      <c r="N92" s="7"/>
      <c r="O92" s="6"/>
      <c r="P92" s="6"/>
      <c r="Q92" s="6"/>
      <c r="R92" s="7"/>
      <c r="S92" s="6"/>
      <c r="T92" s="6"/>
      <c r="U92" s="6"/>
      <c r="V92" s="6"/>
    </row>
    <row r="93" spans="1:22" x14ac:dyDescent="0.25">
      <c r="A93" s="6"/>
      <c r="B93" s="6"/>
      <c r="C93" s="6"/>
      <c r="D93" s="6"/>
      <c r="E93" s="6"/>
      <c r="F93" s="6"/>
      <c r="G93" s="6"/>
      <c r="H93" s="6"/>
      <c r="I93" s="6"/>
      <c r="J93" s="7"/>
      <c r="K93" s="6"/>
      <c r="L93" s="6"/>
      <c r="M93" s="7"/>
      <c r="N93" s="7"/>
      <c r="O93" s="6"/>
      <c r="P93" s="6"/>
      <c r="Q93" s="6"/>
      <c r="R93" s="7"/>
      <c r="S93" s="6"/>
      <c r="T93" s="6"/>
      <c r="U93" s="6"/>
      <c r="V93" s="6"/>
    </row>
    <row r="94" spans="1:22" x14ac:dyDescent="0.25">
      <c r="A94" s="6"/>
      <c r="B94" s="6"/>
      <c r="C94" s="6"/>
      <c r="D94" s="6"/>
      <c r="E94" s="6"/>
      <c r="F94" s="6"/>
      <c r="G94" s="6"/>
      <c r="H94" s="6"/>
      <c r="I94" s="6"/>
      <c r="J94" s="7"/>
      <c r="K94" s="6"/>
      <c r="L94" s="6"/>
      <c r="M94" s="7"/>
      <c r="N94" s="7"/>
      <c r="O94" s="6"/>
      <c r="P94" s="6"/>
      <c r="Q94" s="6"/>
      <c r="R94" s="7"/>
      <c r="S94" s="6"/>
      <c r="T94" s="6"/>
      <c r="U94" s="6"/>
      <c r="V94" s="6"/>
    </row>
    <row r="95" spans="1:22" x14ac:dyDescent="0.25">
      <c r="A95" s="6"/>
      <c r="B95" s="6"/>
      <c r="C95" s="6"/>
      <c r="D95" s="6"/>
      <c r="E95" s="6"/>
      <c r="F95" s="6"/>
      <c r="G95" s="6"/>
      <c r="H95" s="6"/>
      <c r="I95" s="6"/>
      <c r="J95" s="7"/>
      <c r="K95" s="6"/>
      <c r="L95" s="6"/>
      <c r="M95" s="7"/>
      <c r="N95" s="7"/>
      <c r="O95" s="6"/>
      <c r="P95" s="6"/>
      <c r="Q95" s="6"/>
      <c r="R95" s="7"/>
      <c r="S95" s="6"/>
      <c r="T95" s="6"/>
      <c r="U95" s="6"/>
      <c r="V95" s="6"/>
    </row>
    <row r="96" spans="1:22" x14ac:dyDescent="0.25">
      <c r="A96" s="6"/>
      <c r="B96" s="6"/>
      <c r="C96" s="6"/>
      <c r="D96" s="6"/>
      <c r="E96" s="6"/>
      <c r="F96" s="6"/>
      <c r="G96" s="6"/>
      <c r="H96" s="6"/>
      <c r="I96" s="6"/>
      <c r="J96" s="7"/>
      <c r="K96" s="6"/>
      <c r="L96" s="6"/>
      <c r="M96" s="7"/>
      <c r="N96" s="7"/>
      <c r="O96" s="6"/>
      <c r="P96" s="6"/>
      <c r="Q96" s="6"/>
      <c r="R96" s="7"/>
      <c r="S96" s="6"/>
      <c r="T96" s="6"/>
      <c r="U96" s="6"/>
      <c r="V96" s="6"/>
    </row>
    <row r="97" spans="1:22" x14ac:dyDescent="0.25">
      <c r="A97" s="6"/>
      <c r="B97" s="6"/>
      <c r="C97" s="6"/>
      <c r="D97" s="6"/>
      <c r="E97" s="6"/>
      <c r="F97" s="6"/>
      <c r="G97" s="6"/>
      <c r="H97" s="6"/>
      <c r="I97" s="6"/>
      <c r="J97" s="7"/>
      <c r="K97" s="6"/>
      <c r="L97" s="6"/>
      <c r="M97" s="7"/>
      <c r="N97" s="7"/>
      <c r="O97" s="6"/>
      <c r="P97" s="6"/>
      <c r="Q97" s="6"/>
      <c r="R97" s="7"/>
      <c r="S97" s="6"/>
      <c r="T97" s="6"/>
      <c r="U97" s="6"/>
      <c r="V97" s="6"/>
    </row>
    <row r="98" spans="1:22" x14ac:dyDescent="0.25">
      <c r="A98" s="6"/>
      <c r="B98" s="6"/>
      <c r="C98" s="6"/>
      <c r="D98" s="6"/>
      <c r="E98" s="6"/>
      <c r="F98" s="6"/>
      <c r="G98" s="6"/>
      <c r="H98" s="6"/>
      <c r="I98" s="6"/>
      <c r="J98" s="7"/>
      <c r="K98" s="6"/>
      <c r="L98" s="6"/>
      <c r="M98" s="7"/>
      <c r="N98" s="7"/>
      <c r="O98" s="6"/>
      <c r="P98" s="6"/>
      <c r="Q98" s="6"/>
      <c r="R98" s="7"/>
      <c r="S98" s="6"/>
      <c r="T98" s="6"/>
      <c r="U98" s="6"/>
      <c r="V98" s="6"/>
    </row>
    <row r="99" spans="1:22" x14ac:dyDescent="0.25">
      <c r="A99" s="6"/>
      <c r="B99" s="6"/>
      <c r="C99" s="6"/>
      <c r="D99" s="6"/>
      <c r="E99" s="6"/>
      <c r="F99" s="6"/>
      <c r="G99" s="6"/>
      <c r="H99" s="6"/>
      <c r="I99" s="6"/>
      <c r="J99" s="7"/>
      <c r="K99" s="6"/>
      <c r="L99" s="6"/>
      <c r="M99" s="7"/>
      <c r="N99" s="7"/>
      <c r="O99" s="6"/>
      <c r="P99" s="6"/>
      <c r="Q99" s="6"/>
      <c r="R99" s="7"/>
      <c r="S99" s="6"/>
      <c r="T99" s="6"/>
      <c r="U99" s="6"/>
      <c r="V99" s="6"/>
    </row>
    <row r="100" spans="1:2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7"/>
      <c r="K100" s="6"/>
      <c r="L100" s="6"/>
      <c r="M100" s="7"/>
      <c r="N100" s="7"/>
      <c r="O100" s="6"/>
      <c r="P100" s="6"/>
      <c r="Q100" s="6"/>
      <c r="R100" s="7"/>
      <c r="S100" s="6"/>
      <c r="T100" s="6"/>
      <c r="U100" s="6"/>
      <c r="V100" s="6"/>
    </row>
  </sheetData>
  <conditionalFormatting sqref="S2:S100">
    <cfRule type="containsText" dxfId="13" priority="1" operator="containsText" text="Hoch">
      <formula>NOT(ISERROR(SEARCH("Hoch",S2)))</formula>
    </cfRule>
  </conditionalFormatting>
  <conditionalFormatting sqref="S2:S100">
    <cfRule type="containsText" dxfId="12" priority="2" operator="containsText" text="Normal">
      <formula>NOT(ISERROR(SEARCH("Normal",S2)))</formula>
    </cfRule>
  </conditionalFormatting>
  <conditionalFormatting sqref="L2:L100">
    <cfRule type="containsText" dxfId="11" priority="3" operator="containsText" text="eingeladen">
      <formula>NOT(ISERROR(SEARCH("eingeladen",L2)))</formula>
    </cfRule>
  </conditionalFormatting>
  <conditionalFormatting sqref="L2:L100">
    <cfRule type="containsText" dxfId="10" priority="4" operator="containsText" text="ausstehend">
      <formula>NOT(ISERROR(SEARCH("ausstehend",L2)))</formula>
    </cfRule>
  </conditionalFormatting>
  <conditionalFormatting sqref="L2:L100">
    <cfRule type="containsText" dxfId="9" priority="5" operator="containsText" text="versendet">
      <formula>NOT(ISERROR(SEARCH("versendet",L2)))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9D95BB5-6CE1-4FD7-9E0F-17E660DA5A27}">
          <x14:formula1>
            <xm:f>Hilfstabellen!$A$2:$A$6</xm:f>
          </x14:formula1>
          <xm:sqref>K2:K100</xm:sqref>
        </x14:dataValidation>
        <x14:dataValidation type="list" allowBlank="1" showInputMessage="1" showErrorMessage="1" xr:uid="{08F12C72-55CC-446A-89F4-A3AE7C12E17E}">
          <x14:formula1>
            <xm:f>Hilfstabellen!$C$2:$C$7</xm:f>
          </x14:formula1>
          <xm:sqref>I2:I100</xm:sqref>
        </x14:dataValidation>
        <x14:dataValidation type="list" allowBlank="1" showInputMessage="1" showErrorMessage="1" xr:uid="{F5058633-6ED0-4F63-9ADE-0062CBCEC25F}">
          <x14:formula1>
            <xm:f>Hilfstabellen!$E$2:$E$8</xm:f>
          </x14:formula1>
          <xm:sqref>L2:L100</xm:sqref>
        </x14:dataValidation>
        <x14:dataValidation type="list" allowBlank="1" showInputMessage="1" showErrorMessage="1" xr:uid="{5BB55A33-88E2-4ED8-A18F-060746A6C3D7}">
          <x14:formula1>
            <xm:f>Hilfstabellen!$G$2:$G$5</xm:f>
          </x14:formula1>
          <xm:sqref>O2:O100</xm:sqref>
        </x14:dataValidation>
        <x14:dataValidation type="list" allowBlank="1" showInputMessage="1" showErrorMessage="1" xr:uid="{040C5436-7C24-48E8-8279-C8D62FDF8D30}">
          <x14:formula1>
            <xm:f>Hilfstabellen!$I$2:$I$4</xm:f>
          </x14:formula1>
          <xm:sqref>S2:S100</xm:sqref>
        </x14:dataValidation>
        <x14:dataValidation type="list" allowBlank="1" showInputMessage="1" showErrorMessage="1" xr:uid="{E320B5F9-ABAF-4F85-BBA8-B2DAE52B6B42}">
          <x14:formula1>
            <xm:f>Hilfstabellen!$K$2:$K$5</xm:f>
          </x14:formula1>
          <xm:sqref>T2:T100</xm:sqref>
        </x14:dataValidation>
        <x14:dataValidation type="list" allowBlank="1" showInputMessage="1" showErrorMessage="1" xr:uid="{8F1B3582-5F19-44A2-9D93-FDA94C39D0D0}">
          <x14:formula1>
            <xm:f>Hilfstabellen!$M$2:$M$10</xm:f>
          </x14:formula1>
          <xm:sqref>H2:H100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36869-7074-447B-B712-CBFC50FEC4BB}">
  <sheetPr codeName="Tabelle4"/>
  <dimension ref="A1:V127"/>
  <sheetViews>
    <sheetView workbookViewId="0">
      <selection activeCell="H10" sqref="H10"/>
    </sheetView>
  </sheetViews>
  <sheetFormatPr baseColWidth="10" defaultColWidth="9.140625" defaultRowHeight="15" outlineLevelCol="1" x14ac:dyDescent="0.25"/>
  <cols>
    <col min="1" max="1" width="16.85546875" bestFit="1" customWidth="1"/>
    <col min="2" max="2" width="32" customWidth="1"/>
    <col min="3" max="3" width="12.5703125" hidden="1" customWidth="1" outlineLevel="1"/>
    <col min="4" max="4" width="26.140625" hidden="1" customWidth="1" outlineLevel="1"/>
    <col min="5" max="5" width="19" hidden="1" customWidth="1" outlineLevel="1"/>
    <col min="6" max="6" width="18.140625" hidden="1" customWidth="1" outlineLevel="1"/>
    <col min="7" max="7" width="25.7109375" hidden="1" customWidth="1" outlineLevel="1"/>
    <col min="8" max="8" width="21.7109375" bestFit="1" customWidth="1" collapsed="1"/>
    <col min="9" max="9" width="20.140625" bestFit="1" customWidth="1"/>
    <col min="10" max="10" width="23.28515625" style="2" bestFit="1" customWidth="1"/>
    <col min="11" max="11" width="24.42578125" bestFit="1" customWidth="1"/>
    <col min="12" max="12" width="25.7109375" customWidth="1"/>
    <col min="13" max="13" width="15.28515625" style="2" bestFit="1" customWidth="1"/>
    <col min="14" max="14" width="25.28515625" style="2" bestFit="1" customWidth="1"/>
    <col min="15" max="15" width="26" bestFit="1" customWidth="1"/>
    <col min="16" max="16" width="24" bestFit="1" customWidth="1"/>
    <col min="17" max="17" width="21.85546875" bestFit="1" customWidth="1"/>
    <col min="18" max="18" width="19.7109375" style="2" bestFit="1" customWidth="1"/>
    <col min="19" max="19" width="10.5703125" bestFit="1" customWidth="1"/>
    <col min="20" max="20" width="14.28515625" bestFit="1" customWidth="1"/>
    <col min="21" max="21" width="28.7109375" bestFit="1" customWidth="1"/>
    <col min="22" max="22" width="18.85546875" customWidth="1"/>
  </cols>
  <sheetData>
    <row r="1" spans="1:22" s="1" customFormat="1" ht="31.5" customHeight="1" x14ac:dyDescent="0.25">
      <c r="A1" s="34" t="s">
        <v>0</v>
      </c>
      <c r="B1" s="38" t="s">
        <v>131</v>
      </c>
      <c r="C1" s="38" t="s">
        <v>1</v>
      </c>
      <c r="D1" s="38" t="s">
        <v>132</v>
      </c>
      <c r="E1" s="38" t="s">
        <v>2</v>
      </c>
      <c r="F1" s="38" t="s">
        <v>3</v>
      </c>
      <c r="G1" s="38" t="s">
        <v>4</v>
      </c>
      <c r="H1" s="38" t="s">
        <v>5</v>
      </c>
      <c r="I1" s="38" t="s">
        <v>6</v>
      </c>
      <c r="J1" s="39" t="s">
        <v>133</v>
      </c>
      <c r="K1" s="38" t="s">
        <v>7</v>
      </c>
      <c r="L1" s="38" t="s">
        <v>134</v>
      </c>
      <c r="M1" s="39" t="s">
        <v>9</v>
      </c>
      <c r="N1" s="39" t="s">
        <v>10</v>
      </c>
      <c r="O1" s="38" t="s">
        <v>11</v>
      </c>
      <c r="P1" s="38" t="s">
        <v>12</v>
      </c>
      <c r="Q1" s="38" t="s">
        <v>13</v>
      </c>
      <c r="R1" s="39" t="s">
        <v>14</v>
      </c>
      <c r="S1" s="38" t="s">
        <v>15</v>
      </c>
      <c r="T1" s="38" t="s">
        <v>16</v>
      </c>
      <c r="U1" s="38" t="s">
        <v>17</v>
      </c>
      <c r="V1" s="40" t="s">
        <v>18</v>
      </c>
    </row>
    <row r="2" spans="1:22" x14ac:dyDescent="0.25">
      <c r="A2" s="6" t="str" cm="1">
        <f t="array" aca="1" ref="A2:V3" ca="1">IFERROR(IF(_xlfn._xlws.FILTER(Bewerbungsübersicht!A2:V100,(Bewerbungsübersicht!R2:R100&lt;&gt;"")*(Bewerbungsübersicht!R2:R100&lt;=TODAY()+7)*(Bewerbungsübersicht!T2:T100=""))=0,"",_xlfn._xlws.FILTER(Bewerbungsübersicht!A2:V100,(Bewerbungsübersicht!R2:R100&lt;&gt;"")*(Bewerbungsübersicht!R2:R100&lt;=TODAY()+7)*(Bewerbungsübersicht!T2:T100=""))),"Keine Aufgaben für diese Woche")</f>
        <v>BEW-2026-002</v>
      </c>
      <c r="B2" s="6" t="str">
        <f ca="1"/>
        <v>MedienWerk AG</v>
      </c>
      <c r="C2" t="str">
        <f ca="1"/>
        <v>Berlin</v>
      </c>
      <c r="D2" t="str">
        <f ca="1"/>
        <v>Marketing Manager</v>
      </c>
      <c r="E2" t="str">
        <f ca="1"/>
        <v>MW-1234</v>
      </c>
      <c r="F2" t="str">
        <f ca="1"/>
        <v>Herr Müller</v>
      </c>
      <c r="G2" t="str">
        <f ca="1"/>
        <v>bewerbung@medienwerk.de</v>
      </c>
      <c r="H2" s="6" t="str">
        <f ca="1"/>
        <v>StepStone</v>
      </c>
      <c r="I2" s="6" t="str">
        <f ca="1"/>
        <v>E-Mail</v>
      </c>
      <c r="J2" s="7">
        <f ca="1"/>
        <v>46171</v>
      </c>
      <c r="K2" s="6" t="str">
        <f ca="1"/>
        <v>Lebenslauf, Anschreiben</v>
      </c>
      <c r="L2" s="6" t="str">
        <f ca="1"/>
        <v>Bewerbung versendet</v>
      </c>
      <c r="M2" s="7">
        <f ca="1"/>
        <v>46171</v>
      </c>
      <c r="N2" s="7">
        <f ca="1"/>
        <v>46186</v>
      </c>
      <c r="O2" s="6" t="str">
        <f ca="1"/>
        <v>Persönlich</v>
      </c>
      <c r="P2" s="6" t="str">
        <f ca="1"/>
        <v>Noch keine Entscheidung</v>
      </c>
      <c r="Q2" s="6" t="str">
        <f ca="1"/>
        <v>Eingangsbestätigung abwarten</v>
      </c>
      <c r="R2" s="7">
        <f ca="1"/>
        <v>46185</v>
      </c>
      <c r="S2" s="6" t="str">
        <f ca="1"/>
        <v>Hoch</v>
      </c>
      <c r="T2" s="6" t="str">
        <f ca="1"/>
        <v/>
      </c>
      <c r="U2" s="6" t="str">
        <f ca="1"/>
        <v>Sehr interessante Position mit Homeoffice-Option</v>
      </c>
      <c r="V2" s="6" t="str">
        <f ca="1"/>
        <v>ja</v>
      </c>
    </row>
    <row r="3" spans="1:22" x14ac:dyDescent="0.25">
      <c r="A3" s="6" t="str">
        <f ca="1"/>
        <v>BEW-2026-003</v>
      </c>
      <c r="B3" s="6" t="str">
        <f ca="1"/>
        <v>Stadtwerke Oldenburg</v>
      </c>
      <c r="C3" t="str">
        <f ca="1"/>
        <v>Oldenburg</v>
      </c>
      <c r="D3" t="str">
        <f ca="1"/>
        <v>Sachbearbeiter Kundenservice</v>
      </c>
      <c r="E3" t="str">
        <f ca="1"/>
        <v xml:space="preserve"> </v>
      </c>
      <c r="F3" t="str">
        <f ca="1"/>
        <v>Personalabteilung</v>
      </c>
      <c r="G3" t="str">
        <f ca="1"/>
        <v>personal@stadtwerke-ol.de</v>
      </c>
      <c r="H3" s="6" t="str">
        <f ca="1"/>
        <v>Initiativ</v>
      </c>
      <c r="I3" s="6" t="str">
        <f ca="1"/>
        <v>Initiativ</v>
      </c>
      <c r="J3" s="7">
        <f ca="1"/>
        <v>46150</v>
      </c>
      <c r="K3" s="6" t="str">
        <f ca="1"/>
        <v>Lebenslauf, Anschreiben</v>
      </c>
      <c r="L3" s="6" t="str">
        <f ca="1"/>
        <v>Rückmeldung ausstehend</v>
      </c>
      <c r="M3" s="7">
        <f ca="1"/>
        <v>46150</v>
      </c>
      <c r="N3" s="7">
        <f ca="1"/>
        <v>46160</v>
      </c>
      <c r="O3" s="6" t="str">
        <f ca="1"/>
        <v>Telefon</v>
      </c>
      <c r="P3" s="6" t="str">
        <f ca="1"/>
        <v>Noch keine Entscheidung</v>
      </c>
      <c r="Q3" s="6" t="str">
        <f ca="1"/>
        <v>Nochmals nachfragen</v>
      </c>
      <c r="R3" s="7">
        <f ca="1"/>
        <v>46164</v>
      </c>
      <c r="S3" s="6" t="str">
        <f ca="1"/>
        <v>Normal</v>
      </c>
      <c r="T3" s="6" t="str">
        <f ca="1"/>
        <v/>
      </c>
      <c r="U3" s="6" t="str">
        <f ca="1"/>
        <v>Anruf war freundlich, Stelle evtl. erst später frei</v>
      </c>
      <c r="V3" s="6" t="str">
        <f ca="1"/>
        <v>ja</v>
      </c>
    </row>
    <row r="4" spans="1:22" x14ac:dyDescent="0.25">
      <c r="A4" s="6"/>
      <c r="B4" s="6"/>
      <c r="H4" s="6"/>
      <c r="I4" s="6"/>
      <c r="J4" s="7"/>
      <c r="K4" s="6"/>
      <c r="L4" s="6"/>
      <c r="M4" s="7"/>
      <c r="N4" s="7"/>
      <c r="O4" s="6"/>
      <c r="P4" s="6"/>
      <c r="Q4" s="6"/>
      <c r="R4" s="7"/>
      <c r="S4" s="6"/>
      <c r="T4" s="6"/>
      <c r="U4" s="6"/>
      <c r="V4" s="6"/>
    </row>
    <row r="5" spans="1:22" x14ac:dyDescent="0.25">
      <c r="A5" s="6"/>
      <c r="B5" s="6"/>
      <c r="H5" s="6"/>
      <c r="I5" s="6"/>
      <c r="J5" s="7"/>
      <c r="K5" s="6"/>
      <c r="L5" s="6"/>
      <c r="M5" s="7"/>
      <c r="N5" s="7"/>
      <c r="O5" s="6"/>
      <c r="P5" s="6"/>
      <c r="Q5" s="6"/>
      <c r="R5" s="7"/>
      <c r="S5" s="6"/>
      <c r="T5" s="6"/>
      <c r="U5" s="6"/>
      <c r="V5" s="6"/>
    </row>
    <row r="6" spans="1:22" x14ac:dyDescent="0.25">
      <c r="A6" s="6"/>
      <c r="B6" s="6"/>
      <c r="H6" s="6"/>
      <c r="I6" s="6"/>
      <c r="J6" s="7"/>
      <c r="K6" s="6"/>
      <c r="L6" s="6"/>
      <c r="M6" s="7"/>
      <c r="N6" s="7"/>
      <c r="O6" s="6"/>
      <c r="P6" s="6"/>
      <c r="Q6" s="6"/>
      <c r="R6" s="7"/>
      <c r="S6" s="6"/>
      <c r="T6" s="6"/>
      <c r="U6" s="6"/>
      <c r="V6" s="6"/>
    </row>
    <row r="7" spans="1:22" x14ac:dyDescent="0.25">
      <c r="A7" s="6"/>
      <c r="B7" s="6"/>
      <c r="H7" s="6"/>
      <c r="I7" s="6"/>
      <c r="J7" s="7"/>
      <c r="K7" s="6"/>
      <c r="L7" s="6"/>
      <c r="M7" s="7"/>
      <c r="N7" s="7"/>
      <c r="O7" s="6"/>
      <c r="P7" s="6"/>
      <c r="Q7" s="6"/>
      <c r="R7" s="7"/>
      <c r="S7" s="6"/>
      <c r="T7" s="6"/>
      <c r="U7" s="6"/>
      <c r="V7" s="6"/>
    </row>
    <row r="8" spans="1:22" x14ac:dyDescent="0.25">
      <c r="A8" s="6"/>
      <c r="B8" s="6"/>
      <c r="H8" s="6"/>
      <c r="I8" s="6"/>
      <c r="J8" s="7"/>
      <c r="K8" s="6"/>
      <c r="L8" s="6"/>
      <c r="M8" s="7"/>
      <c r="N8" s="7"/>
      <c r="O8" s="6"/>
      <c r="P8" s="6"/>
      <c r="Q8" s="6"/>
      <c r="R8" s="7"/>
      <c r="S8" s="6"/>
      <c r="T8" s="6"/>
      <c r="U8" s="6"/>
      <c r="V8" s="6"/>
    </row>
    <row r="9" spans="1:22" x14ac:dyDescent="0.25">
      <c r="A9" s="6"/>
      <c r="B9" s="6"/>
      <c r="H9" s="6"/>
      <c r="I9" s="6"/>
      <c r="J9" s="7"/>
      <c r="K9" s="6"/>
      <c r="L9" s="6"/>
      <c r="M9" s="7"/>
      <c r="N9" s="7"/>
      <c r="O9" s="6"/>
      <c r="P9" s="6"/>
      <c r="Q9" s="6"/>
      <c r="R9" s="7"/>
      <c r="S9" s="6"/>
      <c r="T9" s="6"/>
      <c r="U9" s="6"/>
      <c r="V9" s="6"/>
    </row>
    <row r="10" spans="1:22" x14ac:dyDescent="0.25">
      <c r="A10" s="6"/>
      <c r="B10" s="6"/>
      <c r="H10" s="6"/>
      <c r="I10" s="6"/>
      <c r="J10" s="7"/>
      <c r="K10" s="6"/>
      <c r="L10" s="6"/>
      <c r="M10" s="7"/>
      <c r="N10" s="7"/>
      <c r="O10" s="6"/>
      <c r="P10" s="6"/>
      <c r="Q10" s="6"/>
      <c r="R10" s="7"/>
      <c r="S10" s="6"/>
      <c r="T10" s="6"/>
      <c r="U10" s="6"/>
      <c r="V10" s="6"/>
    </row>
    <row r="11" spans="1:22" x14ac:dyDescent="0.25">
      <c r="A11" s="6"/>
      <c r="B11" s="6"/>
      <c r="H11" s="6"/>
      <c r="I11" s="6"/>
      <c r="J11" s="7"/>
      <c r="K11" s="6"/>
      <c r="L11" s="6"/>
      <c r="M11" s="7"/>
      <c r="N11" s="7"/>
      <c r="O11" s="6"/>
      <c r="P11" s="6"/>
      <c r="Q11" s="6"/>
      <c r="R11" s="7"/>
      <c r="S11" s="6"/>
      <c r="T11" s="6"/>
      <c r="U11" s="6"/>
      <c r="V11" s="6"/>
    </row>
    <row r="12" spans="1:22" x14ac:dyDescent="0.25">
      <c r="A12" s="6"/>
      <c r="B12" s="6"/>
      <c r="H12" s="6"/>
      <c r="I12" s="6"/>
      <c r="J12" s="7"/>
      <c r="K12" s="6"/>
      <c r="L12" s="6"/>
      <c r="M12" s="7"/>
      <c r="N12" s="7"/>
      <c r="O12" s="6"/>
      <c r="P12" s="6"/>
      <c r="Q12" s="6"/>
      <c r="R12" s="7"/>
      <c r="S12" s="6"/>
      <c r="T12" s="6"/>
      <c r="U12" s="6"/>
      <c r="V12" s="6"/>
    </row>
    <row r="13" spans="1:22" x14ac:dyDescent="0.25">
      <c r="A13" s="6"/>
      <c r="B13" s="6"/>
      <c r="H13" s="6"/>
      <c r="I13" s="6"/>
      <c r="J13" s="7"/>
      <c r="K13" s="6"/>
      <c r="L13" s="6"/>
      <c r="M13" s="7"/>
      <c r="N13" s="7"/>
      <c r="O13" s="6"/>
      <c r="P13" s="6"/>
      <c r="Q13" s="6"/>
      <c r="R13" s="7"/>
      <c r="S13" s="6"/>
      <c r="T13" s="6"/>
      <c r="U13" s="6"/>
      <c r="V13" s="6"/>
    </row>
    <row r="14" spans="1:22" x14ac:dyDescent="0.25">
      <c r="A14" s="6"/>
      <c r="B14" s="6"/>
      <c r="H14" s="6"/>
      <c r="I14" s="6"/>
      <c r="J14" s="7"/>
      <c r="K14" s="6"/>
      <c r="L14" s="6"/>
      <c r="M14" s="7"/>
      <c r="N14" s="7"/>
      <c r="O14" s="6"/>
      <c r="P14" s="6"/>
      <c r="Q14" s="6"/>
      <c r="R14" s="7"/>
      <c r="S14" s="6"/>
      <c r="T14" s="6"/>
      <c r="U14" s="6"/>
      <c r="V14" s="6"/>
    </row>
    <row r="15" spans="1:22" x14ac:dyDescent="0.25">
      <c r="A15" s="6"/>
      <c r="B15" s="6"/>
      <c r="H15" s="6"/>
      <c r="I15" s="6"/>
      <c r="J15" s="7"/>
      <c r="K15" s="6"/>
      <c r="L15" s="6"/>
      <c r="M15" s="7"/>
      <c r="N15" s="7"/>
      <c r="O15" s="6"/>
      <c r="P15" s="6"/>
      <c r="Q15" s="6"/>
      <c r="R15" s="7"/>
      <c r="S15" s="6"/>
      <c r="T15" s="6"/>
      <c r="U15" s="6"/>
      <c r="V15" s="6"/>
    </row>
    <row r="16" spans="1:22" x14ac:dyDescent="0.25">
      <c r="A16" s="6"/>
      <c r="B16" s="6"/>
      <c r="H16" s="6"/>
      <c r="I16" s="6"/>
      <c r="J16" s="7"/>
      <c r="K16" s="6"/>
      <c r="L16" s="6"/>
      <c r="M16" s="7"/>
      <c r="N16" s="7"/>
      <c r="O16" s="6"/>
      <c r="P16" s="6"/>
      <c r="Q16" s="6"/>
      <c r="R16" s="7"/>
      <c r="S16" s="6"/>
      <c r="T16" s="6"/>
      <c r="U16" s="6"/>
      <c r="V16" s="6"/>
    </row>
    <row r="17" spans="1:22" x14ac:dyDescent="0.25">
      <c r="A17" s="6"/>
      <c r="B17" s="6"/>
      <c r="H17" s="6"/>
      <c r="I17" s="6"/>
      <c r="J17" s="7"/>
      <c r="K17" s="6"/>
      <c r="L17" s="6"/>
      <c r="M17" s="7"/>
      <c r="N17" s="7"/>
      <c r="O17" s="6"/>
      <c r="P17" s="6"/>
      <c r="Q17" s="6"/>
      <c r="R17" s="7"/>
      <c r="S17" s="6"/>
      <c r="T17" s="6"/>
      <c r="U17" s="6"/>
      <c r="V17" s="6"/>
    </row>
    <row r="18" spans="1:22" x14ac:dyDescent="0.25">
      <c r="A18" s="6"/>
      <c r="B18" s="6"/>
      <c r="H18" s="6"/>
      <c r="I18" s="6"/>
      <c r="J18" s="7"/>
      <c r="K18" s="6"/>
      <c r="L18" s="6"/>
      <c r="M18" s="7"/>
      <c r="N18" s="7"/>
      <c r="O18" s="6"/>
      <c r="P18" s="6"/>
      <c r="Q18" s="6"/>
      <c r="R18" s="7"/>
      <c r="S18" s="6"/>
      <c r="T18" s="6"/>
      <c r="U18" s="6"/>
      <c r="V18" s="6"/>
    </row>
    <row r="19" spans="1:22" x14ac:dyDescent="0.25">
      <c r="A19" s="6"/>
      <c r="B19" s="6"/>
      <c r="H19" s="6"/>
      <c r="I19" s="6"/>
      <c r="J19" s="7"/>
      <c r="K19" s="6"/>
      <c r="L19" s="6"/>
      <c r="M19" s="7"/>
      <c r="N19" s="7"/>
      <c r="O19" s="6"/>
      <c r="P19" s="6"/>
      <c r="Q19" s="6"/>
      <c r="R19" s="7"/>
      <c r="S19" s="6"/>
      <c r="T19" s="6"/>
      <c r="U19" s="6"/>
      <c r="V19" s="6"/>
    </row>
    <row r="20" spans="1:22" x14ac:dyDescent="0.25">
      <c r="A20" s="6"/>
      <c r="B20" s="6"/>
      <c r="H20" s="6"/>
      <c r="I20" s="6"/>
      <c r="J20" s="7"/>
      <c r="K20" s="6"/>
      <c r="L20" s="6"/>
      <c r="M20" s="7"/>
      <c r="N20" s="7"/>
      <c r="O20" s="6"/>
      <c r="P20" s="6"/>
      <c r="Q20" s="6"/>
      <c r="R20" s="7"/>
      <c r="S20" s="6"/>
      <c r="T20" s="6"/>
      <c r="U20" s="6"/>
      <c r="V20" s="6"/>
    </row>
    <row r="21" spans="1:22" x14ac:dyDescent="0.25">
      <c r="A21" s="6"/>
      <c r="B21" s="6"/>
      <c r="H21" s="6"/>
      <c r="I21" s="6"/>
      <c r="J21" s="7"/>
      <c r="K21" s="6"/>
      <c r="L21" s="6"/>
      <c r="M21" s="7"/>
      <c r="N21" s="7"/>
      <c r="O21" s="6"/>
      <c r="P21" s="6"/>
      <c r="Q21" s="6"/>
      <c r="R21" s="7"/>
      <c r="S21" s="6"/>
      <c r="T21" s="6"/>
      <c r="U21" s="6"/>
      <c r="V21" s="6"/>
    </row>
    <row r="22" spans="1:22" x14ac:dyDescent="0.25">
      <c r="A22" s="6"/>
      <c r="B22" s="6"/>
      <c r="H22" s="6"/>
      <c r="I22" s="6"/>
      <c r="J22" s="7"/>
      <c r="K22" s="6"/>
      <c r="L22" s="6"/>
      <c r="M22" s="7"/>
      <c r="N22" s="7"/>
      <c r="O22" s="6"/>
      <c r="P22" s="6"/>
      <c r="Q22" s="6"/>
      <c r="R22" s="7"/>
      <c r="S22" s="6"/>
      <c r="T22" s="6"/>
      <c r="U22" s="6"/>
      <c r="V22" s="6"/>
    </row>
    <row r="23" spans="1:22" x14ac:dyDescent="0.25">
      <c r="A23" s="6"/>
      <c r="B23" s="6"/>
      <c r="H23" s="6"/>
      <c r="I23" s="6"/>
      <c r="J23" s="7"/>
      <c r="K23" s="6"/>
      <c r="L23" s="6"/>
      <c r="M23" s="7"/>
      <c r="N23" s="7"/>
      <c r="O23" s="6"/>
      <c r="P23" s="6"/>
      <c r="Q23" s="6"/>
      <c r="R23" s="7"/>
      <c r="S23" s="6"/>
      <c r="T23" s="6"/>
      <c r="U23" s="6"/>
      <c r="V23" s="6"/>
    </row>
    <row r="24" spans="1:22" x14ac:dyDescent="0.25">
      <c r="A24" s="6"/>
      <c r="B24" s="6"/>
      <c r="H24" s="6"/>
      <c r="I24" s="6"/>
      <c r="J24" s="7"/>
      <c r="K24" s="6"/>
      <c r="L24" s="6"/>
      <c r="M24" s="7"/>
      <c r="N24" s="7"/>
      <c r="O24" s="6"/>
      <c r="P24" s="6"/>
      <c r="Q24" s="6"/>
      <c r="R24" s="7"/>
      <c r="S24" s="6"/>
      <c r="T24" s="6"/>
      <c r="U24" s="6"/>
      <c r="V24" s="6"/>
    </row>
    <row r="25" spans="1:22" x14ac:dyDescent="0.25">
      <c r="A25" s="6"/>
      <c r="B25" s="6"/>
      <c r="H25" s="6"/>
      <c r="I25" s="6"/>
      <c r="J25" s="7"/>
      <c r="K25" s="6"/>
      <c r="L25" s="6"/>
      <c r="M25" s="7"/>
      <c r="N25" s="7"/>
      <c r="O25" s="6"/>
      <c r="P25" s="6"/>
      <c r="Q25" s="6"/>
      <c r="R25" s="7"/>
      <c r="S25" s="6"/>
      <c r="T25" s="6"/>
      <c r="U25" s="6"/>
      <c r="V25" s="6"/>
    </row>
    <row r="26" spans="1:22" x14ac:dyDescent="0.25">
      <c r="A26" s="6"/>
      <c r="B26" s="6"/>
      <c r="H26" s="6"/>
      <c r="I26" s="6"/>
      <c r="J26" s="7"/>
      <c r="K26" s="6"/>
      <c r="L26" s="6"/>
      <c r="M26" s="7"/>
      <c r="N26" s="7"/>
      <c r="O26" s="6"/>
      <c r="P26" s="6"/>
      <c r="Q26" s="6"/>
      <c r="R26" s="7"/>
      <c r="S26" s="6"/>
      <c r="T26" s="6"/>
      <c r="U26" s="6"/>
      <c r="V26" s="6"/>
    </row>
    <row r="27" spans="1:22" x14ac:dyDescent="0.25">
      <c r="A27" s="6"/>
      <c r="B27" s="6"/>
      <c r="H27" s="6"/>
      <c r="I27" s="6"/>
      <c r="J27" s="7"/>
      <c r="K27" s="6"/>
      <c r="L27" s="6"/>
      <c r="M27" s="7"/>
      <c r="N27" s="7"/>
      <c r="O27" s="6"/>
      <c r="P27" s="6"/>
      <c r="Q27" s="6"/>
      <c r="R27" s="7"/>
      <c r="S27" s="6"/>
      <c r="T27" s="6"/>
      <c r="U27" s="6"/>
      <c r="V27" s="6"/>
    </row>
    <row r="28" spans="1:22" x14ac:dyDescent="0.25">
      <c r="A28" s="6"/>
      <c r="B28" s="6"/>
      <c r="H28" s="6"/>
      <c r="I28" s="6"/>
      <c r="J28" s="7"/>
      <c r="K28" s="6"/>
      <c r="L28" s="6"/>
      <c r="M28" s="7"/>
      <c r="N28" s="7"/>
      <c r="O28" s="6"/>
      <c r="P28" s="6"/>
      <c r="Q28" s="6"/>
      <c r="R28" s="7"/>
      <c r="S28" s="6"/>
      <c r="T28" s="6"/>
      <c r="U28" s="6"/>
      <c r="V28" s="6"/>
    </row>
    <row r="29" spans="1:22" x14ac:dyDescent="0.25">
      <c r="A29" s="6"/>
      <c r="B29" s="6"/>
      <c r="H29" s="6"/>
      <c r="I29" s="6"/>
      <c r="J29" s="7"/>
      <c r="K29" s="6"/>
      <c r="L29" s="6"/>
      <c r="M29" s="7"/>
      <c r="N29" s="7"/>
      <c r="O29" s="6"/>
      <c r="P29" s="6"/>
      <c r="Q29" s="6"/>
      <c r="R29" s="7"/>
      <c r="S29" s="6"/>
      <c r="T29" s="6"/>
      <c r="U29" s="6"/>
      <c r="V29" s="6"/>
    </row>
    <row r="30" spans="1:22" x14ac:dyDescent="0.25">
      <c r="A30" s="6"/>
      <c r="B30" s="6"/>
      <c r="H30" s="6"/>
      <c r="I30" s="6"/>
      <c r="J30" s="7"/>
      <c r="K30" s="6"/>
      <c r="L30" s="6"/>
      <c r="M30" s="7"/>
      <c r="N30" s="7"/>
      <c r="O30" s="6"/>
      <c r="P30" s="6"/>
      <c r="Q30" s="6"/>
      <c r="R30" s="7"/>
      <c r="S30" s="6"/>
      <c r="T30" s="6"/>
      <c r="U30" s="6"/>
      <c r="V30" s="6"/>
    </row>
    <row r="31" spans="1:22" x14ac:dyDescent="0.25">
      <c r="A31" s="6"/>
      <c r="B31" s="6"/>
      <c r="H31" s="6"/>
      <c r="I31" s="6"/>
      <c r="J31" s="7"/>
      <c r="K31" s="6"/>
      <c r="L31" s="6"/>
      <c r="M31" s="7"/>
      <c r="N31" s="7"/>
      <c r="O31" s="6"/>
      <c r="P31" s="6"/>
      <c r="Q31" s="6"/>
      <c r="R31" s="7"/>
      <c r="S31" s="6"/>
      <c r="T31" s="6"/>
      <c r="U31" s="6"/>
      <c r="V31" s="6"/>
    </row>
    <row r="32" spans="1:22" x14ac:dyDescent="0.25">
      <c r="A32" s="6"/>
      <c r="B32" s="6"/>
      <c r="H32" s="6"/>
      <c r="I32" s="6"/>
      <c r="J32" s="7"/>
      <c r="K32" s="6"/>
      <c r="L32" s="6"/>
      <c r="M32" s="7"/>
      <c r="N32" s="7"/>
      <c r="O32" s="6"/>
      <c r="P32" s="6"/>
      <c r="Q32" s="6"/>
      <c r="R32" s="7"/>
      <c r="S32" s="6"/>
      <c r="T32" s="6"/>
      <c r="U32" s="6"/>
      <c r="V32" s="6"/>
    </row>
    <row r="33" spans="1:22" x14ac:dyDescent="0.25">
      <c r="A33" s="6"/>
      <c r="B33" s="6"/>
      <c r="H33" s="6"/>
      <c r="I33" s="6"/>
      <c r="J33" s="7"/>
      <c r="K33" s="6"/>
      <c r="L33" s="6"/>
      <c r="M33" s="7"/>
      <c r="N33" s="7"/>
      <c r="O33" s="6"/>
      <c r="P33" s="6"/>
      <c r="Q33" s="6"/>
      <c r="R33" s="7"/>
      <c r="S33" s="6"/>
      <c r="T33" s="6"/>
      <c r="U33" s="6"/>
      <c r="V33" s="6"/>
    </row>
    <row r="34" spans="1:22" x14ac:dyDescent="0.25">
      <c r="A34" s="6"/>
      <c r="B34" s="6"/>
      <c r="H34" s="6"/>
      <c r="I34" s="6"/>
      <c r="J34" s="7"/>
      <c r="K34" s="6"/>
      <c r="L34" s="6"/>
      <c r="M34" s="7"/>
      <c r="N34" s="7"/>
      <c r="O34" s="6"/>
      <c r="P34" s="6"/>
      <c r="Q34" s="6"/>
      <c r="R34" s="7"/>
      <c r="S34" s="6"/>
      <c r="T34" s="6"/>
      <c r="U34" s="6"/>
      <c r="V34" s="6"/>
    </row>
    <row r="35" spans="1:22" x14ac:dyDescent="0.25">
      <c r="A35" s="6"/>
      <c r="B35" s="6"/>
      <c r="H35" s="6"/>
      <c r="I35" s="6"/>
      <c r="J35" s="7"/>
      <c r="K35" s="6"/>
      <c r="L35" s="6"/>
      <c r="M35" s="7"/>
      <c r="N35" s="7"/>
      <c r="O35" s="6"/>
      <c r="P35" s="6"/>
      <c r="Q35" s="6"/>
      <c r="R35" s="7"/>
      <c r="S35" s="6"/>
      <c r="T35" s="6"/>
      <c r="U35" s="6"/>
      <c r="V35" s="6"/>
    </row>
    <row r="36" spans="1:22" x14ac:dyDescent="0.25">
      <c r="A36" s="6"/>
      <c r="B36" s="6"/>
      <c r="H36" s="6"/>
      <c r="I36" s="6"/>
      <c r="J36" s="7"/>
      <c r="K36" s="6"/>
      <c r="L36" s="6"/>
      <c r="M36" s="7"/>
      <c r="N36" s="7"/>
      <c r="O36" s="6"/>
      <c r="P36" s="6"/>
      <c r="Q36" s="6"/>
      <c r="R36" s="7"/>
      <c r="S36" s="6"/>
      <c r="T36" s="6"/>
      <c r="U36" s="6"/>
      <c r="V36" s="6"/>
    </row>
    <row r="37" spans="1:22" x14ac:dyDescent="0.25">
      <c r="A37" s="6"/>
      <c r="B37" s="6"/>
      <c r="H37" s="6"/>
      <c r="I37" s="6"/>
      <c r="J37" s="7"/>
      <c r="K37" s="6"/>
      <c r="L37" s="6"/>
      <c r="M37" s="7"/>
      <c r="N37" s="7"/>
      <c r="O37" s="6"/>
      <c r="P37" s="6"/>
      <c r="Q37" s="6"/>
      <c r="R37" s="7"/>
      <c r="S37" s="6"/>
      <c r="T37" s="6"/>
      <c r="U37" s="6"/>
      <c r="V37" s="6"/>
    </row>
    <row r="38" spans="1:22" x14ac:dyDescent="0.25">
      <c r="A38" s="6"/>
      <c r="B38" s="6"/>
      <c r="H38" s="6"/>
      <c r="I38" s="6"/>
      <c r="J38" s="7"/>
      <c r="K38" s="6"/>
      <c r="L38" s="6"/>
      <c r="M38" s="7"/>
      <c r="N38" s="7"/>
      <c r="O38" s="6"/>
      <c r="P38" s="6"/>
      <c r="Q38" s="6"/>
      <c r="R38" s="7"/>
      <c r="S38" s="6"/>
      <c r="T38" s="6"/>
      <c r="U38" s="6"/>
      <c r="V38" s="6"/>
    </row>
    <row r="39" spans="1:22" x14ac:dyDescent="0.25">
      <c r="A39" s="6"/>
      <c r="B39" s="6"/>
      <c r="H39" s="6"/>
      <c r="I39" s="6"/>
      <c r="J39" s="7"/>
      <c r="K39" s="6"/>
      <c r="L39" s="6"/>
      <c r="M39" s="7"/>
      <c r="N39" s="7"/>
      <c r="O39" s="6"/>
      <c r="P39" s="6"/>
      <c r="Q39" s="6"/>
      <c r="R39" s="7"/>
      <c r="S39" s="6"/>
      <c r="T39" s="6"/>
      <c r="U39" s="6"/>
      <c r="V39" s="6"/>
    </row>
    <row r="40" spans="1:22" x14ac:dyDescent="0.25">
      <c r="A40" s="6"/>
      <c r="B40" s="6"/>
      <c r="H40" s="6"/>
      <c r="I40" s="6"/>
      <c r="J40" s="7"/>
      <c r="K40" s="6"/>
      <c r="L40" s="6"/>
      <c r="M40" s="7"/>
      <c r="N40" s="7"/>
      <c r="O40" s="6"/>
      <c r="P40" s="6"/>
      <c r="Q40" s="6"/>
      <c r="R40" s="7"/>
      <c r="S40" s="6"/>
      <c r="T40" s="6"/>
      <c r="U40" s="6"/>
      <c r="V40" s="6"/>
    </row>
    <row r="41" spans="1:22" x14ac:dyDescent="0.25">
      <c r="A41" s="6"/>
      <c r="B41" s="6"/>
      <c r="H41" s="6"/>
      <c r="I41" s="6"/>
      <c r="J41" s="7"/>
      <c r="K41" s="6"/>
      <c r="L41" s="6"/>
      <c r="M41" s="7"/>
      <c r="N41" s="7"/>
      <c r="O41" s="6"/>
      <c r="P41" s="6"/>
      <c r="Q41" s="6"/>
      <c r="R41" s="7"/>
      <c r="S41" s="6"/>
      <c r="T41" s="6"/>
      <c r="U41" s="6"/>
      <c r="V41" s="6"/>
    </row>
    <row r="42" spans="1:22" x14ac:dyDescent="0.25">
      <c r="A42" s="6"/>
      <c r="B42" s="6"/>
      <c r="H42" s="6"/>
      <c r="I42" s="6"/>
      <c r="J42" s="7"/>
      <c r="K42" s="6"/>
      <c r="L42" s="6"/>
      <c r="M42" s="7"/>
      <c r="N42" s="7"/>
      <c r="O42" s="6"/>
      <c r="P42" s="6"/>
      <c r="Q42" s="6"/>
      <c r="R42" s="7"/>
      <c r="S42" s="6"/>
      <c r="T42" s="6"/>
      <c r="U42" s="6"/>
      <c r="V42" s="6"/>
    </row>
    <row r="43" spans="1:22" x14ac:dyDescent="0.25">
      <c r="A43" s="6"/>
      <c r="B43" s="6"/>
      <c r="H43" s="6"/>
      <c r="I43" s="6"/>
      <c r="J43" s="7"/>
      <c r="K43" s="6"/>
      <c r="L43" s="6"/>
      <c r="M43" s="7"/>
      <c r="N43" s="7"/>
      <c r="O43" s="6"/>
      <c r="P43" s="6"/>
      <c r="Q43" s="6"/>
      <c r="R43" s="7"/>
      <c r="S43" s="6"/>
      <c r="T43" s="6"/>
      <c r="U43" s="6"/>
      <c r="V43" s="6"/>
    </row>
    <row r="44" spans="1:22" x14ac:dyDescent="0.25">
      <c r="A44" s="6"/>
      <c r="B44" s="6"/>
      <c r="H44" s="6"/>
      <c r="I44" s="6"/>
      <c r="J44" s="7"/>
      <c r="K44" s="6"/>
      <c r="L44" s="6"/>
      <c r="M44" s="7"/>
      <c r="N44" s="7"/>
      <c r="O44" s="6"/>
      <c r="P44" s="6"/>
      <c r="Q44" s="6"/>
      <c r="R44" s="7"/>
      <c r="S44" s="6"/>
      <c r="T44" s="6"/>
      <c r="U44" s="6"/>
      <c r="V44" s="6"/>
    </row>
    <row r="45" spans="1:22" x14ac:dyDescent="0.25">
      <c r="A45" s="6"/>
      <c r="B45" s="6"/>
      <c r="H45" s="6"/>
      <c r="I45" s="6"/>
      <c r="J45" s="7"/>
      <c r="K45" s="6"/>
      <c r="L45" s="6"/>
      <c r="M45" s="7"/>
      <c r="N45" s="7"/>
      <c r="O45" s="6"/>
      <c r="P45" s="6"/>
      <c r="Q45" s="6"/>
      <c r="R45" s="7"/>
      <c r="S45" s="6"/>
      <c r="T45" s="6"/>
      <c r="U45" s="6"/>
      <c r="V45" s="6"/>
    </row>
    <row r="46" spans="1:22" x14ac:dyDescent="0.25">
      <c r="A46" s="6"/>
      <c r="B46" s="6"/>
      <c r="H46" s="6"/>
      <c r="I46" s="6"/>
      <c r="J46" s="7"/>
      <c r="K46" s="6"/>
      <c r="L46" s="6"/>
      <c r="M46" s="7"/>
      <c r="N46" s="7"/>
      <c r="O46" s="6"/>
      <c r="P46" s="6"/>
      <c r="Q46" s="6"/>
      <c r="R46" s="7"/>
      <c r="S46" s="6"/>
      <c r="T46" s="6"/>
      <c r="U46" s="6"/>
      <c r="V46" s="6"/>
    </row>
    <row r="47" spans="1:22" x14ac:dyDescent="0.25">
      <c r="A47" s="6"/>
      <c r="B47" s="6"/>
      <c r="H47" s="6"/>
      <c r="I47" s="6"/>
      <c r="J47" s="7"/>
      <c r="K47" s="6"/>
      <c r="L47" s="6"/>
      <c r="M47" s="7"/>
      <c r="N47" s="7"/>
      <c r="O47" s="6"/>
      <c r="P47" s="6"/>
      <c r="Q47" s="6"/>
      <c r="R47" s="7"/>
      <c r="S47" s="6"/>
      <c r="T47" s="6"/>
      <c r="U47" s="6"/>
      <c r="V47" s="6"/>
    </row>
    <row r="48" spans="1:22" x14ac:dyDescent="0.25">
      <c r="A48" s="6"/>
      <c r="B48" s="6"/>
      <c r="H48" s="6"/>
      <c r="I48" s="6"/>
      <c r="J48" s="7"/>
      <c r="K48" s="6"/>
      <c r="L48" s="6"/>
      <c r="M48" s="7"/>
      <c r="N48" s="7"/>
      <c r="O48" s="6"/>
      <c r="P48" s="6"/>
      <c r="Q48" s="6"/>
      <c r="R48" s="7"/>
      <c r="S48" s="6"/>
      <c r="T48" s="6"/>
      <c r="U48" s="6"/>
      <c r="V48" s="6"/>
    </row>
    <row r="49" spans="1:22" x14ac:dyDescent="0.25">
      <c r="A49" s="6"/>
      <c r="B49" s="6"/>
      <c r="H49" s="6"/>
      <c r="I49" s="6"/>
      <c r="J49" s="7"/>
      <c r="K49" s="6"/>
      <c r="L49" s="6"/>
      <c r="M49" s="7"/>
      <c r="N49" s="7"/>
      <c r="O49" s="6"/>
      <c r="P49" s="6"/>
      <c r="Q49" s="6"/>
      <c r="R49" s="7"/>
      <c r="S49" s="6"/>
      <c r="T49" s="6"/>
      <c r="U49" s="6"/>
      <c r="V49" s="6"/>
    </row>
    <row r="50" spans="1:22" x14ac:dyDescent="0.25">
      <c r="A50" s="6"/>
      <c r="B50" s="6"/>
      <c r="H50" s="6"/>
      <c r="I50" s="6"/>
      <c r="J50" s="7"/>
      <c r="K50" s="6"/>
      <c r="L50" s="6"/>
      <c r="M50" s="7"/>
      <c r="N50" s="7"/>
      <c r="O50" s="6"/>
      <c r="P50" s="6"/>
      <c r="Q50" s="6"/>
      <c r="R50" s="7"/>
      <c r="S50" s="6"/>
      <c r="T50" s="6"/>
      <c r="U50" s="6"/>
      <c r="V50" s="6"/>
    </row>
    <row r="51" spans="1:22" x14ac:dyDescent="0.25">
      <c r="A51" s="6"/>
      <c r="B51" s="6"/>
      <c r="H51" s="6"/>
      <c r="I51" s="6"/>
      <c r="J51" s="7"/>
      <c r="K51" s="6"/>
      <c r="L51" s="6"/>
      <c r="M51" s="7"/>
      <c r="N51" s="7"/>
      <c r="O51" s="6"/>
      <c r="P51" s="6"/>
      <c r="Q51" s="6"/>
      <c r="R51" s="7"/>
      <c r="S51" s="6"/>
      <c r="T51" s="6"/>
      <c r="U51" s="6"/>
      <c r="V51" s="6"/>
    </row>
    <row r="52" spans="1:22" x14ac:dyDescent="0.25">
      <c r="A52" s="6"/>
      <c r="B52" s="6"/>
      <c r="H52" s="6"/>
      <c r="I52" s="6"/>
      <c r="J52" s="7"/>
      <c r="K52" s="6"/>
      <c r="L52" s="6"/>
      <c r="M52" s="7"/>
      <c r="N52" s="7"/>
      <c r="O52" s="6"/>
      <c r="P52" s="6"/>
      <c r="Q52" s="6"/>
      <c r="R52" s="7"/>
      <c r="S52" s="6"/>
      <c r="T52" s="6"/>
      <c r="U52" s="6"/>
      <c r="V52" s="6"/>
    </row>
    <row r="53" spans="1:22" x14ac:dyDescent="0.25">
      <c r="A53" s="6"/>
      <c r="B53" s="6"/>
      <c r="H53" s="6"/>
      <c r="I53" s="6"/>
      <c r="J53" s="7"/>
      <c r="K53" s="6"/>
      <c r="L53" s="6"/>
      <c r="M53" s="7"/>
      <c r="N53" s="7"/>
      <c r="O53" s="6"/>
      <c r="P53" s="6"/>
      <c r="Q53" s="6"/>
      <c r="R53" s="7"/>
      <c r="S53" s="6"/>
      <c r="T53" s="6"/>
      <c r="U53" s="6"/>
      <c r="V53" s="6"/>
    </row>
    <row r="54" spans="1:22" x14ac:dyDescent="0.25">
      <c r="A54" s="6"/>
      <c r="B54" s="6"/>
      <c r="H54" s="6"/>
      <c r="I54" s="6"/>
      <c r="J54" s="7"/>
      <c r="K54" s="6"/>
      <c r="L54" s="6"/>
      <c r="M54" s="7"/>
      <c r="N54" s="7"/>
      <c r="O54" s="6"/>
      <c r="P54" s="6"/>
      <c r="Q54" s="6"/>
      <c r="R54" s="7"/>
      <c r="S54" s="6"/>
      <c r="T54" s="6"/>
      <c r="U54" s="6"/>
      <c r="V54" s="6"/>
    </row>
    <row r="55" spans="1:22" x14ac:dyDescent="0.25">
      <c r="A55" s="6"/>
      <c r="B55" s="6"/>
      <c r="H55" s="6"/>
      <c r="I55" s="6"/>
      <c r="J55" s="7"/>
      <c r="K55" s="6"/>
      <c r="L55" s="6"/>
      <c r="M55" s="7"/>
      <c r="N55" s="7"/>
      <c r="O55" s="6"/>
      <c r="P55" s="6"/>
      <c r="Q55" s="6"/>
      <c r="R55" s="7"/>
      <c r="S55" s="6"/>
      <c r="T55" s="6"/>
      <c r="U55" s="6"/>
      <c r="V55" s="6"/>
    </row>
    <row r="56" spans="1:22" x14ac:dyDescent="0.25">
      <c r="A56" s="6"/>
      <c r="B56" s="6"/>
      <c r="H56" s="6"/>
      <c r="I56" s="6"/>
      <c r="J56" s="7"/>
      <c r="K56" s="6"/>
      <c r="L56" s="6"/>
      <c r="M56" s="7"/>
      <c r="N56" s="7"/>
      <c r="O56" s="6"/>
      <c r="P56" s="6"/>
      <c r="Q56" s="6"/>
      <c r="R56" s="7"/>
      <c r="S56" s="6"/>
      <c r="T56" s="6"/>
      <c r="U56" s="6"/>
      <c r="V56" s="6"/>
    </row>
    <row r="57" spans="1:22" x14ac:dyDescent="0.25">
      <c r="A57" s="6"/>
      <c r="B57" s="6"/>
      <c r="H57" s="6"/>
      <c r="I57" s="6"/>
      <c r="J57" s="7"/>
      <c r="K57" s="6"/>
      <c r="L57" s="6"/>
      <c r="M57" s="7"/>
      <c r="N57" s="7"/>
      <c r="O57" s="6"/>
      <c r="P57" s="6"/>
      <c r="Q57" s="6"/>
      <c r="R57" s="7"/>
      <c r="S57" s="6"/>
      <c r="T57" s="6"/>
      <c r="U57" s="6"/>
      <c r="V57" s="6"/>
    </row>
    <row r="58" spans="1:22" x14ac:dyDescent="0.25">
      <c r="A58" s="6"/>
      <c r="B58" s="6"/>
      <c r="H58" s="6"/>
      <c r="I58" s="6"/>
      <c r="J58" s="7"/>
      <c r="K58" s="6"/>
      <c r="L58" s="6"/>
      <c r="M58" s="7"/>
      <c r="N58" s="7"/>
      <c r="O58" s="6"/>
      <c r="P58" s="6"/>
      <c r="Q58" s="6"/>
      <c r="R58" s="7"/>
      <c r="S58" s="6"/>
      <c r="T58" s="6"/>
      <c r="U58" s="6"/>
      <c r="V58" s="6"/>
    </row>
    <row r="59" spans="1:22" x14ac:dyDescent="0.25">
      <c r="A59" s="6"/>
      <c r="B59" s="6"/>
      <c r="H59" s="6"/>
      <c r="I59" s="6"/>
      <c r="J59" s="7"/>
      <c r="K59" s="6"/>
      <c r="L59" s="6"/>
      <c r="M59" s="7"/>
      <c r="N59" s="7"/>
      <c r="O59" s="6"/>
      <c r="P59" s="6"/>
      <c r="Q59" s="6"/>
      <c r="R59" s="7"/>
      <c r="S59" s="6"/>
      <c r="T59" s="6"/>
      <c r="U59" s="6"/>
      <c r="V59" s="6"/>
    </row>
    <row r="60" spans="1:22" x14ac:dyDescent="0.25">
      <c r="A60" s="6"/>
      <c r="B60" s="6"/>
      <c r="H60" s="6"/>
      <c r="I60" s="6"/>
      <c r="J60" s="7"/>
      <c r="K60" s="6"/>
      <c r="L60" s="6"/>
      <c r="M60" s="7"/>
      <c r="N60" s="7"/>
      <c r="O60" s="6"/>
      <c r="P60" s="6"/>
      <c r="Q60" s="6"/>
      <c r="R60" s="7"/>
      <c r="S60" s="6"/>
      <c r="T60" s="6"/>
      <c r="U60" s="6"/>
      <c r="V60" s="6"/>
    </row>
    <row r="61" spans="1:22" x14ac:dyDescent="0.25">
      <c r="A61" s="6"/>
      <c r="B61" s="6"/>
      <c r="H61" s="6"/>
      <c r="I61" s="6"/>
      <c r="J61" s="7"/>
      <c r="K61" s="6"/>
      <c r="L61" s="6"/>
      <c r="M61" s="7"/>
      <c r="N61" s="7"/>
      <c r="O61" s="6"/>
      <c r="P61" s="6"/>
      <c r="Q61" s="6"/>
      <c r="R61" s="7"/>
      <c r="S61" s="6"/>
      <c r="T61" s="6"/>
      <c r="U61" s="6"/>
      <c r="V61" s="6"/>
    </row>
    <row r="62" spans="1:22" x14ac:dyDescent="0.25">
      <c r="A62" s="6"/>
      <c r="B62" s="6"/>
      <c r="H62" s="6"/>
      <c r="I62" s="6"/>
      <c r="J62" s="7"/>
      <c r="K62" s="6"/>
      <c r="L62" s="6"/>
      <c r="M62" s="7"/>
      <c r="N62" s="7"/>
      <c r="O62" s="6"/>
      <c r="P62" s="6"/>
      <c r="Q62" s="6"/>
      <c r="R62" s="7"/>
      <c r="S62" s="6"/>
      <c r="T62" s="6"/>
      <c r="U62" s="6"/>
      <c r="V62" s="6"/>
    </row>
    <row r="63" spans="1:22" x14ac:dyDescent="0.25">
      <c r="A63" s="6"/>
      <c r="B63" s="6"/>
      <c r="H63" s="6"/>
      <c r="I63" s="6"/>
      <c r="J63" s="7"/>
      <c r="K63" s="6"/>
      <c r="L63" s="6"/>
      <c r="M63" s="7"/>
      <c r="N63" s="7"/>
      <c r="O63" s="6"/>
      <c r="P63" s="6"/>
      <c r="Q63" s="6"/>
      <c r="R63" s="7"/>
      <c r="S63" s="6"/>
      <c r="T63" s="6"/>
      <c r="U63" s="6"/>
      <c r="V63" s="6"/>
    </row>
    <row r="64" spans="1:22" x14ac:dyDescent="0.25">
      <c r="A64" s="6"/>
      <c r="B64" s="6"/>
      <c r="H64" s="6"/>
      <c r="I64" s="6"/>
      <c r="J64" s="7"/>
      <c r="K64" s="6"/>
      <c r="L64" s="6"/>
      <c r="M64" s="7"/>
      <c r="N64" s="7"/>
      <c r="O64" s="6"/>
      <c r="P64" s="6"/>
      <c r="Q64" s="6"/>
      <c r="R64" s="7"/>
      <c r="S64" s="6"/>
      <c r="T64" s="6"/>
      <c r="U64" s="6"/>
      <c r="V64" s="6"/>
    </row>
    <row r="65" spans="1:22" x14ac:dyDescent="0.25">
      <c r="A65" s="6"/>
      <c r="B65" s="6"/>
      <c r="H65" s="6"/>
      <c r="I65" s="6"/>
      <c r="J65" s="7"/>
      <c r="K65" s="6"/>
      <c r="L65" s="6"/>
      <c r="M65" s="7"/>
      <c r="N65" s="7"/>
      <c r="O65" s="6"/>
      <c r="P65" s="6"/>
      <c r="Q65" s="6"/>
      <c r="R65" s="7"/>
      <c r="S65" s="6"/>
      <c r="T65" s="6"/>
      <c r="U65" s="6"/>
      <c r="V65" s="6"/>
    </row>
    <row r="66" spans="1:22" x14ac:dyDescent="0.25">
      <c r="A66" s="6"/>
      <c r="B66" s="6"/>
      <c r="H66" s="6"/>
      <c r="I66" s="6"/>
      <c r="J66" s="7"/>
      <c r="K66" s="6"/>
      <c r="L66" s="6"/>
      <c r="M66" s="7"/>
      <c r="N66" s="7"/>
      <c r="O66" s="6"/>
      <c r="P66" s="6"/>
      <c r="Q66" s="6"/>
      <c r="R66" s="7"/>
      <c r="S66" s="6"/>
      <c r="T66" s="6"/>
      <c r="U66" s="6"/>
      <c r="V66" s="6"/>
    </row>
    <row r="67" spans="1:22" x14ac:dyDescent="0.25">
      <c r="A67" s="6"/>
      <c r="B67" s="6"/>
      <c r="H67" s="6"/>
      <c r="I67" s="6"/>
      <c r="J67" s="7"/>
      <c r="K67" s="6"/>
      <c r="L67" s="6"/>
      <c r="M67" s="7"/>
      <c r="N67" s="7"/>
      <c r="O67" s="6"/>
      <c r="P67" s="6"/>
      <c r="Q67" s="6"/>
      <c r="R67" s="7"/>
      <c r="S67" s="6"/>
      <c r="T67" s="6"/>
      <c r="U67" s="6"/>
      <c r="V67" s="6"/>
    </row>
    <row r="68" spans="1:22" x14ac:dyDescent="0.25">
      <c r="A68" s="6"/>
      <c r="B68" s="6"/>
      <c r="H68" s="6"/>
      <c r="I68" s="6"/>
      <c r="J68" s="7"/>
      <c r="K68" s="6"/>
      <c r="L68" s="6"/>
      <c r="M68" s="7"/>
      <c r="N68" s="7"/>
      <c r="O68" s="6"/>
      <c r="P68" s="6"/>
      <c r="Q68" s="6"/>
      <c r="R68" s="7"/>
      <c r="S68" s="6"/>
      <c r="T68" s="6"/>
      <c r="U68" s="6"/>
      <c r="V68" s="6"/>
    </row>
    <row r="69" spans="1:22" x14ac:dyDescent="0.25">
      <c r="A69" s="6"/>
      <c r="B69" s="6"/>
      <c r="H69" s="6"/>
      <c r="I69" s="6"/>
      <c r="J69" s="7"/>
      <c r="K69" s="6"/>
      <c r="L69" s="6"/>
      <c r="M69" s="7"/>
      <c r="N69" s="7"/>
      <c r="O69" s="6"/>
      <c r="P69" s="6"/>
      <c r="Q69" s="6"/>
      <c r="R69" s="7"/>
      <c r="S69" s="6"/>
      <c r="T69" s="6"/>
      <c r="U69" s="6"/>
      <c r="V69" s="6"/>
    </row>
    <row r="70" spans="1:22" x14ac:dyDescent="0.25">
      <c r="A70" s="6"/>
      <c r="B70" s="6"/>
      <c r="H70" s="6"/>
      <c r="I70" s="6"/>
      <c r="J70" s="7"/>
      <c r="K70" s="6"/>
      <c r="L70" s="6"/>
      <c r="M70" s="7"/>
      <c r="N70" s="7"/>
      <c r="O70" s="6"/>
      <c r="P70" s="6"/>
      <c r="Q70" s="6"/>
      <c r="R70" s="7"/>
      <c r="S70" s="6"/>
      <c r="T70" s="6"/>
      <c r="U70" s="6"/>
      <c r="V70" s="6"/>
    </row>
    <row r="71" spans="1:22" x14ac:dyDescent="0.25">
      <c r="A71" s="6"/>
      <c r="B71" s="6"/>
      <c r="H71" s="6"/>
      <c r="I71" s="6"/>
      <c r="J71" s="7"/>
      <c r="K71" s="6"/>
      <c r="L71" s="6"/>
      <c r="M71" s="7"/>
      <c r="N71" s="7"/>
      <c r="O71" s="6"/>
      <c r="P71" s="6"/>
      <c r="Q71" s="6"/>
      <c r="R71" s="7"/>
      <c r="S71" s="6"/>
      <c r="T71" s="6"/>
      <c r="U71" s="6"/>
      <c r="V71" s="6"/>
    </row>
    <row r="72" spans="1:22" x14ac:dyDescent="0.25">
      <c r="A72" s="6"/>
      <c r="B72" s="6"/>
      <c r="H72" s="6"/>
      <c r="I72" s="6"/>
      <c r="J72" s="7"/>
      <c r="K72" s="6"/>
      <c r="L72" s="6"/>
      <c r="M72" s="7"/>
      <c r="N72" s="7"/>
      <c r="O72" s="6"/>
      <c r="P72" s="6"/>
      <c r="Q72" s="6"/>
      <c r="R72" s="7"/>
      <c r="S72" s="6"/>
      <c r="T72" s="6"/>
      <c r="U72" s="6"/>
      <c r="V72" s="6"/>
    </row>
    <row r="73" spans="1:22" x14ac:dyDescent="0.25">
      <c r="A73" s="6"/>
      <c r="B73" s="6"/>
      <c r="H73" s="6"/>
      <c r="I73" s="6"/>
      <c r="J73" s="7"/>
      <c r="K73" s="6"/>
      <c r="L73" s="6"/>
      <c r="M73" s="7"/>
      <c r="N73" s="7"/>
      <c r="O73" s="6"/>
      <c r="P73" s="6"/>
      <c r="Q73" s="6"/>
      <c r="R73" s="7"/>
      <c r="S73" s="6"/>
      <c r="T73" s="6"/>
      <c r="U73" s="6"/>
      <c r="V73" s="6"/>
    </row>
    <row r="74" spans="1:22" x14ac:dyDescent="0.25">
      <c r="A74" s="6"/>
      <c r="B74" s="6"/>
      <c r="H74" s="6"/>
      <c r="I74" s="6"/>
      <c r="J74" s="7"/>
      <c r="K74" s="6"/>
      <c r="L74" s="6"/>
      <c r="M74" s="7"/>
      <c r="N74" s="7"/>
      <c r="O74" s="6"/>
      <c r="P74" s="6"/>
      <c r="Q74" s="6"/>
      <c r="R74" s="7"/>
      <c r="S74" s="6"/>
      <c r="T74" s="6"/>
      <c r="U74" s="6"/>
      <c r="V74" s="6"/>
    </row>
    <row r="75" spans="1:22" x14ac:dyDescent="0.25">
      <c r="A75" s="6"/>
      <c r="B75" s="6"/>
      <c r="H75" s="6"/>
      <c r="I75" s="6"/>
      <c r="J75" s="7"/>
      <c r="K75" s="6"/>
      <c r="L75" s="6"/>
      <c r="M75" s="7"/>
      <c r="N75" s="7"/>
      <c r="O75" s="6"/>
      <c r="P75" s="6"/>
      <c r="Q75" s="6"/>
      <c r="R75" s="7"/>
      <c r="S75" s="6"/>
      <c r="T75" s="6"/>
      <c r="U75" s="6"/>
      <c r="V75" s="6"/>
    </row>
    <row r="76" spans="1:22" x14ac:dyDescent="0.25">
      <c r="A76" s="6"/>
      <c r="B76" s="6"/>
      <c r="H76" s="6"/>
      <c r="I76" s="6"/>
      <c r="J76" s="7"/>
      <c r="K76" s="6"/>
      <c r="L76" s="6"/>
      <c r="M76" s="7"/>
      <c r="N76" s="7"/>
      <c r="O76" s="6"/>
      <c r="P76" s="6"/>
      <c r="Q76" s="6"/>
      <c r="R76" s="7"/>
      <c r="S76" s="6"/>
      <c r="T76" s="6"/>
      <c r="U76" s="6"/>
      <c r="V76" s="6"/>
    </row>
    <row r="77" spans="1:22" x14ac:dyDescent="0.25">
      <c r="A77" s="6"/>
      <c r="B77" s="6"/>
      <c r="H77" s="6"/>
      <c r="I77" s="6"/>
      <c r="J77" s="7"/>
      <c r="K77" s="6"/>
      <c r="L77" s="6"/>
      <c r="M77" s="7"/>
      <c r="N77" s="7"/>
      <c r="O77" s="6"/>
      <c r="P77" s="6"/>
      <c r="Q77" s="6"/>
      <c r="R77" s="7"/>
      <c r="S77" s="6"/>
      <c r="T77" s="6"/>
      <c r="U77" s="6"/>
      <c r="V77" s="6"/>
    </row>
    <row r="78" spans="1:22" x14ac:dyDescent="0.25">
      <c r="A78" s="6"/>
      <c r="B78" s="6"/>
      <c r="H78" s="6"/>
      <c r="I78" s="6"/>
      <c r="J78" s="7"/>
      <c r="K78" s="6"/>
      <c r="L78" s="6"/>
      <c r="M78" s="7"/>
      <c r="N78" s="7"/>
      <c r="O78" s="6"/>
      <c r="P78" s="6"/>
      <c r="Q78" s="6"/>
      <c r="R78" s="7"/>
      <c r="S78" s="6"/>
      <c r="T78" s="6"/>
      <c r="U78" s="6"/>
      <c r="V78" s="6"/>
    </row>
    <row r="79" spans="1:22" x14ac:dyDescent="0.25">
      <c r="A79" s="6"/>
      <c r="B79" s="6"/>
      <c r="H79" s="6"/>
      <c r="I79" s="6"/>
      <c r="J79" s="7"/>
      <c r="K79" s="6"/>
      <c r="L79" s="6"/>
      <c r="M79" s="7"/>
      <c r="N79" s="7"/>
      <c r="O79" s="6"/>
      <c r="P79" s="6"/>
      <c r="Q79" s="6"/>
      <c r="R79" s="7"/>
      <c r="S79" s="6"/>
      <c r="T79" s="6"/>
      <c r="U79" s="6"/>
      <c r="V79" s="6"/>
    </row>
    <row r="80" spans="1:22" x14ac:dyDescent="0.25">
      <c r="A80" s="6"/>
      <c r="B80" s="6"/>
      <c r="H80" s="6"/>
      <c r="I80" s="6"/>
      <c r="J80" s="7"/>
      <c r="K80" s="6"/>
      <c r="L80" s="6"/>
      <c r="M80" s="7"/>
      <c r="N80" s="7"/>
      <c r="O80" s="6"/>
      <c r="P80" s="6"/>
      <c r="Q80" s="6"/>
      <c r="R80" s="7"/>
      <c r="S80" s="6"/>
      <c r="T80" s="6"/>
      <c r="U80" s="6"/>
      <c r="V80" s="6"/>
    </row>
    <row r="81" spans="1:22" x14ac:dyDescent="0.25">
      <c r="A81" s="6"/>
      <c r="B81" s="6"/>
      <c r="H81" s="6"/>
      <c r="I81" s="6"/>
      <c r="J81" s="7"/>
      <c r="K81" s="6"/>
      <c r="L81" s="6"/>
      <c r="M81" s="7"/>
      <c r="N81" s="7"/>
      <c r="O81" s="6"/>
      <c r="P81" s="6"/>
      <c r="Q81" s="6"/>
      <c r="R81" s="7"/>
      <c r="S81" s="6"/>
      <c r="T81" s="6"/>
      <c r="U81" s="6"/>
      <c r="V81" s="6"/>
    </row>
    <row r="82" spans="1:22" x14ac:dyDescent="0.25">
      <c r="A82" s="6"/>
      <c r="B82" s="6"/>
      <c r="H82" s="6"/>
      <c r="I82" s="6"/>
      <c r="J82" s="7"/>
      <c r="K82" s="6"/>
      <c r="L82" s="6"/>
      <c r="M82" s="7"/>
      <c r="N82" s="7"/>
      <c r="O82" s="6"/>
      <c r="P82" s="6"/>
      <c r="Q82" s="6"/>
      <c r="R82" s="7"/>
      <c r="S82" s="6"/>
      <c r="T82" s="6"/>
      <c r="U82" s="6"/>
      <c r="V82" s="6"/>
    </row>
    <row r="83" spans="1:22" x14ac:dyDescent="0.25">
      <c r="A83" s="6"/>
      <c r="B83" s="6"/>
      <c r="H83" s="6"/>
      <c r="I83" s="6"/>
      <c r="J83" s="7"/>
      <c r="K83" s="6"/>
      <c r="L83" s="6"/>
      <c r="M83" s="7"/>
      <c r="N83" s="7"/>
      <c r="O83" s="6"/>
      <c r="P83" s="6"/>
      <c r="Q83" s="6"/>
      <c r="R83" s="7"/>
      <c r="S83" s="6"/>
      <c r="T83" s="6"/>
      <c r="U83" s="6"/>
      <c r="V83" s="6"/>
    </row>
    <row r="84" spans="1:22" x14ac:dyDescent="0.25">
      <c r="A84" s="6"/>
      <c r="B84" s="6"/>
      <c r="H84" s="6"/>
      <c r="I84" s="6"/>
      <c r="J84" s="7"/>
      <c r="K84" s="6"/>
      <c r="L84" s="6"/>
      <c r="M84" s="7"/>
      <c r="N84" s="7"/>
      <c r="O84" s="6"/>
      <c r="P84" s="6"/>
      <c r="Q84" s="6"/>
      <c r="R84" s="7"/>
      <c r="S84" s="6"/>
      <c r="T84" s="6"/>
      <c r="U84" s="6"/>
      <c r="V84" s="6"/>
    </row>
    <row r="85" spans="1:22" x14ac:dyDescent="0.25">
      <c r="A85" s="6"/>
      <c r="B85" s="6"/>
      <c r="H85" s="6"/>
      <c r="I85" s="6"/>
      <c r="J85" s="7"/>
      <c r="K85" s="6"/>
      <c r="L85" s="6"/>
      <c r="M85" s="7"/>
      <c r="N85" s="7"/>
      <c r="O85" s="6"/>
      <c r="P85" s="6"/>
      <c r="Q85" s="6"/>
      <c r="R85" s="7"/>
      <c r="S85" s="6"/>
      <c r="T85" s="6"/>
      <c r="U85" s="6"/>
      <c r="V85" s="6"/>
    </row>
    <row r="86" spans="1:22" x14ac:dyDescent="0.25">
      <c r="A86" s="6"/>
      <c r="B86" s="6"/>
      <c r="H86" s="6"/>
      <c r="I86" s="6"/>
      <c r="J86" s="7"/>
      <c r="K86" s="6"/>
      <c r="L86" s="6"/>
      <c r="M86" s="7"/>
      <c r="N86" s="7"/>
      <c r="O86" s="6"/>
      <c r="P86" s="6"/>
      <c r="Q86" s="6"/>
      <c r="R86" s="7"/>
      <c r="S86" s="6"/>
      <c r="T86" s="6"/>
      <c r="U86" s="6"/>
      <c r="V86" s="6"/>
    </row>
    <row r="87" spans="1:22" x14ac:dyDescent="0.25">
      <c r="A87" s="6"/>
      <c r="B87" s="6"/>
      <c r="H87" s="6"/>
      <c r="I87" s="6"/>
      <c r="J87" s="7"/>
      <c r="K87" s="6"/>
      <c r="L87" s="6"/>
      <c r="M87" s="7"/>
      <c r="N87" s="7"/>
      <c r="O87" s="6"/>
      <c r="P87" s="6"/>
      <c r="Q87" s="6"/>
      <c r="R87" s="7"/>
      <c r="S87" s="6"/>
      <c r="T87" s="6"/>
      <c r="U87" s="6"/>
      <c r="V87" s="6"/>
    </row>
    <row r="88" spans="1:22" x14ac:dyDescent="0.25">
      <c r="A88" s="6"/>
      <c r="B88" s="6"/>
      <c r="H88" s="6"/>
      <c r="I88" s="6"/>
      <c r="J88" s="7"/>
      <c r="K88" s="6"/>
      <c r="L88" s="6"/>
      <c r="M88" s="7"/>
      <c r="N88" s="7"/>
      <c r="O88" s="6"/>
      <c r="P88" s="6"/>
      <c r="Q88" s="6"/>
      <c r="R88" s="7"/>
      <c r="S88" s="6"/>
      <c r="T88" s="6"/>
      <c r="U88" s="6"/>
      <c r="V88" s="6"/>
    </row>
    <row r="89" spans="1:22" x14ac:dyDescent="0.25">
      <c r="A89" s="6"/>
      <c r="B89" s="6"/>
      <c r="H89" s="6"/>
      <c r="I89" s="6"/>
      <c r="J89" s="7"/>
      <c r="K89" s="6"/>
      <c r="L89" s="6"/>
      <c r="M89" s="7"/>
      <c r="N89" s="7"/>
      <c r="O89" s="6"/>
      <c r="P89" s="6"/>
      <c r="Q89" s="6"/>
      <c r="R89" s="7"/>
      <c r="S89" s="6"/>
      <c r="T89" s="6"/>
      <c r="U89" s="6"/>
      <c r="V89" s="6"/>
    </row>
    <row r="90" spans="1:22" x14ac:dyDescent="0.25">
      <c r="A90" s="6"/>
      <c r="B90" s="6"/>
      <c r="H90" s="6"/>
      <c r="I90" s="6"/>
      <c r="J90" s="7"/>
      <c r="K90" s="6"/>
      <c r="L90" s="6"/>
      <c r="M90" s="7"/>
      <c r="N90" s="7"/>
      <c r="O90" s="6"/>
      <c r="P90" s="6"/>
      <c r="Q90" s="6"/>
      <c r="R90" s="7"/>
      <c r="S90" s="6"/>
      <c r="T90" s="6"/>
      <c r="U90" s="6"/>
      <c r="V90" s="6"/>
    </row>
    <row r="91" spans="1:22" x14ac:dyDescent="0.25">
      <c r="A91" s="6"/>
      <c r="B91" s="6"/>
      <c r="H91" s="6"/>
      <c r="I91" s="6"/>
      <c r="J91" s="7"/>
      <c r="K91" s="6"/>
      <c r="L91" s="6"/>
      <c r="M91" s="7"/>
      <c r="N91" s="7"/>
      <c r="O91" s="6"/>
      <c r="P91" s="6"/>
      <c r="Q91" s="6"/>
      <c r="R91" s="7"/>
      <c r="S91" s="6"/>
      <c r="T91" s="6"/>
      <c r="U91" s="6"/>
      <c r="V91" s="6"/>
    </row>
    <row r="92" spans="1:22" x14ac:dyDescent="0.25">
      <c r="A92" s="6"/>
      <c r="B92" s="6"/>
      <c r="H92" s="6"/>
      <c r="I92" s="6"/>
      <c r="J92" s="7"/>
      <c r="K92" s="6"/>
      <c r="L92" s="6"/>
      <c r="M92" s="7"/>
      <c r="N92" s="7"/>
      <c r="O92" s="6"/>
      <c r="P92" s="6"/>
      <c r="Q92" s="6"/>
      <c r="R92" s="7"/>
      <c r="S92" s="6"/>
      <c r="T92" s="6"/>
      <c r="U92" s="6"/>
      <c r="V92" s="6"/>
    </row>
    <row r="93" spans="1:22" x14ac:dyDescent="0.25">
      <c r="A93" s="6"/>
      <c r="B93" s="6"/>
      <c r="H93" s="6"/>
      <c r="I93" s="6"/>
      <c r="J93" s="7"/>
      <c r="K93" s="6"/>
      <c r="L93" s="6"/>
      <c r="M93" s="7"/>
      <c r="N93" s="7"/>
      <c r="O93" s="6"/>
      <c r="P93" s="6"/>
      <c r="Q93" s="6"/>
      <c r="R93" s="7"/>
      <c r="S93" s="6"/>
      <c r="T93" s="6"/>
      <c r="U93" s="6"/>
      <c r="V93" s="6"/>
    </row>
    <row r="94" spans="1:22" x14ac:dyDescent="0.25">
      <c r="A94" s="6"/>
      <c r="B94" s="6"/>
      <c r="H94" s="6"/>
      <c r="I94" s="6"/>
      <c r="J94" s="7"/>
      <c r="K94" s="6"/>
      <c r="L94" s="6"/>
      <c r="M94" s="7"/>
      <c r="N94" s="7"/>
      <c r="O94" s="6"/>
      <c r="P94" s="6"/>
      <c r="Q94" s="6"/>
      <c r="R94" s="7"/>
      <c r="S94" s="6"/>
      <c r="T94" s="6"/>
      <c r="U94" s="6"/>
      <c r="V94" s="6"/>
    </row>
    <row r="95" spans="1:22" x14ac:dyDescent="0.25">
      <c r="A95" s="6"/>
      <c r="B95" s="6"/>
      <c r="H95" s="6"/>
      <c r="I95" s="6"/>
      <c r="J95" s="7"/>
      <c r="K95" s="6"/>
      <c r="L95" s="6"/>
      <c r="M95" s="7"/>
      <c r="N95" s="7"/>
      <c r="O95" s="6"/>
      <c r="P95" s="6"/>
      <c r="Q95" s="6"/>
      <c r="R95" s="7"/>
      <c r="S95" s="6"/>
      <c r="T95" s="6"/>
      <c r="U95" s="6"/>
      <c r="V95" s="6"/>
    </row>
    <row r="96" spans="1:22" x14ac:dyDescent="0.25">
      <c r="A96" s="6"/>
      <c r="B96" s="6"/>
      <c r="H96" s="6"/>
      <c r="I96" s="6"/>
      <c r="J96" s="7"/>
      <c r="K96" s="6"/>
      <c r="L96" s="6"/>
      <c r="M96" s="7"/>
      <c r="N96" s="7"/>
      <c r="O96" s="6"/>
      <c r="P96" s="6"/>
      <c r="Q96" s="6"/>
      <c r="R96" s="7"/>
      <c r="S96" s="6"/>
      <c r="T96" s="6"/>
      <c r="U96" s="6"/>
      <c r="V96" s="6"/>
    </row>
    <row r="97" spans="1:22" x14ac:dyDescent="0.25">
      <c r="A97" s="6"/>
      <c r="B97" s="6"/>
      <c r="H97" s="6"/>
      <c r="I97" s="6"/>
      <c r="J97" s="7"/>
      <c r="K97" s="6"/>
      <c r="L97" s="6"/>
      <c r="M97" s="7"/>
      <c r="N97" s="7"/>
      <c r="O97" s="6"/>
      <c r="P97" s="6"/>
      <c r="Q97" s="6"/>
      <c r="R97" s="7"/>
      <c r="S97" s="6"/>
      <c r="T97" s="6"/>
      <c r="U97" s="6"/>
      <c r="V97" s="6"/>
    </row>
    <row r="98" spans="1:22" x14ac:dyDescent="0.25">
      <c r="A98" s="6"/>
      <c r="B98" s="6"/>
      <c r="H98" s="6"/>
      <c r="I98" s="6"/>
      <c r="J98" s="7"/>
      <c r="K98" s="6"/>
      <c r="L98" s="6"/>
      <c r="M98" s="7"/>
      <c r="N98" s="7"/>
      <c r="O98" s="6"/>
      <c r="P98" s="6"/>
      <c r="Q98" s="6"/>
      <c r="R98" s="7"/>
      <c r="S98" s="6"/>
      <c r="T98" s="6"/>
      <c r="U98" s="6"/>
      <c r="V98" s="6"/>
    </row>
    <row r="99" spans="1:22" x14ac:dyDescent="0.25">
      <c r="A99" s="6"/>
      <c r="B99" s="6"/>
      <c r="H99" s="6"/>
      <c r="I99" s="6"/>
      <c r="J99" s="7"/>
      <c r="K99" s="6"/>
      <c r="L99" s="6"/>
      <c r="M99" s="7"/>
      <c r="N99" s="7"/>
      <c r="O99" s="6"/>
      <c r="P99" s="6"/>
      <c r="Q99" s="6"/>
      <c r="R99" s="7"/>
      <c r="S99" s="6"/>
      <c r="T99" s="6"/>
      <c r="U99" s="6"/>
      <c r="V99" s="6"/>
    </row>
    <row r="100" spans="1:22" x14ac:dyDescent="0.25">
      <c r="A100" s="6"/>
      <c r="B100" s="6"/>
      <c r="H100" s="6"/>
      <c r="I100" s="6"/>
      <c r="J100" s="7"/>
      <c r="K100" s="6"/>
      <c r="L100" s="6"/>
      <c r="M100" s="7"/>
      <c r="N100" s="7"/>
      <c r="O100" s="6"/>
      <c r="P100" s="6"/>
      <c r="Q100" s="6"/>
      <c r="R100" s="7"/>
      <c r="S100" s="6"/>
      <c r="T100" s="6"/>
      <c r="U100" s="6"/>
      <c r="V100" s="6"/>
    </row>
    <row r="101" spans="1:22" x14ac:dyDescent="0.25">
      <c r="A101" s="6"/>
      <c r="B101" s="6"/>
      <c r="H101" s="6"/>
      <c r="I101" s="6"/>
      <c r="J101" s="7"/>
      <c r="K101" s="6"/>
      <c r="L101" s="6"/>
      <c r="M101" s="7"/>
      <c r="N101" s="7"/>
      <c r="O101" s="6"/>
      <c r="P101" s="6"/>
      <c r="Q101" s="6"/>
      <c r="R101" s="7"/>
      <c r="S101" s="6"/>
      <c r="T101" s="6"/>
      <c r="U101" s="6"/>
      <c r="V101" s="6"/>
    </row>
    <row r="102" spans="1:22" x14ac:dyDescent="0.25">
      <c r="A102" s="6"/>
      <c r="B102" s="6"/>
      <c r="H102" s="6"/>
      <c r="I102" s="6"/>
      <c r="J102" s="7"/>
      <c r="K102" s="6"/>
      <c r="L102" s="6"/>
      <c r="M102" s="7"/>
      <c r="N102" s="7"/>
      <c r="O102" s="6"/>
      <c r="P102" s="6"/>
      <c r="Q102" s="6"/>
      <c r="R102" s="7"/>
      <c r="S102" s="6"/>
      <c r="T102" s="6"/>
      <c r="U102" s="6"/>
      <c r="V102" s="6"/>
    </row>
    <row r="103" spans="1:22" x14ac:dyDescent="0.25">
      <c r="A103" s="6"/>
      <c r="B103" s="6"/>
      <c r="H103" s="6"/>
      <c r="I103" s="6"/>
      <c r="J103" s="7"/>
      <c r="K103" s="6"/>
      <c r="L103" s="6"/>
      <c r="M103" s="7"/>
      <c r="N103" s="7"/>
      <c r="O103" s="6"/>
      <c r="P103" s="6"/>
      <c r="Q103" s="6"/>
      <c r="R103" s="7"/>
      <c r="S103" s="6"/>
      <c r="T103" s="6"/>
      <c r="U103" s="6"/>
      <c r="V103" s="6"/>
    </row>
    <row r="104" spans="1:22" x14ac:dyDescent="0.25">
      <c r="A104" s="6"/>
      <c r="B104" s="6"/>
      <c r="H104" s="6"/>
      <c r="I104" s="6"/>
      <c r="J104" s="7"/>
      <c r="K104" s="6"/>
      <c r="L104" s="6"/>
      <c r="M104" s="7"/>
      <c r="N104" s="7"/>
      <c r="O104" s="6"/>
      <c r="P104" s="6"/>
      <c r="Q104" s="6"/>
      <c r="R104" s="7"/>
      <c r="S104" s="6"/>
      <c r="T104" s="6"/>
      <c r="U104" s="6"/>
      <c r="V104" s="6"/>
    </row>
    <row r="105" spans="1:22" x14ac:dyDescent="0.25">
      <c r="A105" s="6"/>
      <c r="B105" s="6"/>
      <c r="H105" s="6"/>
      <c r="I105" s="6"/>
      <c r="J105" s="7"/>
      <c r="K105" s="6"/>
      <c r="L105" s="6"/>
      <c r="M105" s="7"/>
      <c r="N105" s="7"/>
      <c r="O105" s="6"/>
      <c r="P105" s="6"/>
      <c r="Q105" s="6"/>
      <c r="R105" s="7"/>
      <c r="S105" s="6"/>
      <c r="T105" s="6"/>
      <c r="U105" s="6"/>
      <c r="V105" s="6"/>
    </row>
    <row r="106" spans="1:22" x14ac:dyDescent="0.25">
      <c r="A106" s="6"/>
      <c r="B106" s="6"/>
      <c r="H106" s="6"/>
      <c r="I106" s="6"/>
      <c r="J106" s="7"/>
      <c r="K106" s="6"/>
      <c r="L106" s="6"/>
      <c r="M106" s="7"/>
      <c r="N106" s="7"/>
      <c r="O106" s="6"/>
      <c r="P106" s="6"/>
      <c r="Q106" s="6"/>
      <c r="R106" s="7"/>
      <c r="S106" s="6"/>
      <c r="T106" s="6"/>
      <c r="U106" s="6"/>
      <c r="V106" s="6"/>
    </row>
    <row r="107" spans="1:22" x14ac:dyDescent="0.25">
      <c r="A107" s="6"/>
      <c r="B107" s="6"/>
      <c r="H107" s="6"/>
      <c r="I107" s="6"/>
      <c r="J107" s="7"/>
      <c r="K107" s="6"/>
      <c r="L107" s="6"/>
      <c r="M107" s="7"/>
      <c r="N107" s="7"/>
      <c r="O107" s="6"/>
      <c r="P107" s="6"/>
      <c r="Q107" s="6"/>
      <c r="R107" s="7"/>
      <c r="S107" s="6"/>
      <c r="T107" s="6"/>
      <c r="U107" s="6"/>
      <c r="V107" s="6"/>
    </row>
    <row r="108" spans="1:22" x14ac:dyDescent="0.25">
      <c r="A108" s="6"/>
      <c r="B108" s="6"/>
      <c r="H108" s="6"/>
      <c r="I108" s="6"/>
      <c r="J108" s="7"/>
      <c r="K108" s="6"/>
      <c r="L108" s="6"/>
      <c r="M108" s="7"/>
      <c r="N108" s="7"/>
      <c r="O108" s="6"/>
      <c r="P108" s="6"/>
      <c r="Q108" s="6"/>
      <c r="R108" s="7"/>
      <c r="S108" s="6"/>
      <c r="T108" s="6"/>
      <c r="U108" s="6"/>
      <c r="V108" s="6"/>
    </row>
    <row r="109" spans="1:22" x14ac:dyDescent="0.25">
      <c r="A109" s="6"/>
      <c r="B109" s="6"/>
      <c r="H109" s="6"/>
      <c r="I109" s="6"/>
      <c r="J109" s="7"/>
      <c r="K109" s="6"/>
      <c r="L109" s="6"/>
      <c r="M109" s="7"/>
      <c r="N109" s="7"/>
      <c r="O109" s="6"/>
      <c r="P109" s="6"/>
      <c r="Q109" s="6"/>
      <c r="R109" s="7"/>
      <c r="S109" s="6"/>
      <c r="T109" s="6"/>
      <c r="U109" s="6"/>
      <c r="V109" s="6"/>
    </row>
    <row r="110" spans="1:22" x14ac:dyDescent="0.25">
      <c r="A110" s="6"/>
      <c r="B110" s="6"/>
      <c r="H110" s="6"/>
      <c r="I110" s="6"/>
      <c r="J110" s="7"/>
      <c r="K110" s="6"/>
      <c r="L110" s="6"/>
      <c r="M110" s="7"/>
      <c r="N110" s="7"/>
      <c r="O110" s="6"/>
      <c r="P110" s="6"/>
      <c r="Q110" s="6"/>
      <c r="R110" s="7"/>
      <c r="S110" s="6"/>
      <c r="T110" s="6"/>
      <c r="U110" s="6"/>
      <c r="V110" s="6"/>
    </row>
    <row r="111" spans="1:22" x14ac:dyDescent="0.25">
      <c r="A111" s="6"/>
      <c r="B111" s="6"/>
      <c r="H111" s="6"/>
      <c r="I111" s="6"/>
      <c r="J111" s="7"/>
      <c r="K111" s="6"/>
      <c r="L111" s="6"/>
      <c r="M111" s="7"/>
      <c r="N111" s="7"/>
      <c r="O111" s="6"/>
      <c r="P111" s="6"/>
      <c r="Q111" s="6"/>
      <c r="R111" s="7"/>
      <c r="S111" s="6"/>
      <c r="T111" s="6"/>
      <c r="U111" s="6"/>
      <c r="V111" s="6"/>
    </row>
    <row r="112" spans="1:22" x14ac:dyDescent="0.25">
      <c r="A112" s="6"/>
      <c r="B112" s="6"/>
      <c r="H112" s="6"/>
      <c r="I112" s="6"/>
      <c r="J112" s="7"/>
      <c r="K112" s="6"/>
      <c r="L112" s="6"/>
      <c r="M112" s="7"/>
      <c r="N112" s="7"/>
      <c r="O112" s="6"/>
      <c r="P112" s="6"/>
      <c r="Q112" s="6"/>
      <c r="R112" s="7"/>
      <c r="S112" s="6"/>
      <c r="T112" s="6"/>
      <c r="U112" s="6"/>
      <c r="V112" s="6"/>
    </row>
    <row r="113" spans="1:22" x14ac:dyDescent="0.25">
      <c r="A113" s="6"/>
      <c r="B113" s="6"/>
      <c r="H113" s="6"/>
      <c r="I113" s="6"/>
      <c r="J113" s="7"/>
      <c r="K113" s="6"/>
      <c r="L113" s="6"/>
      <c r="M113" s="7"/>
      <c r="N113" s="7"/>
      <c r="O113" s="6"/>
      <c r="P113" s="6"/>
      <c r="Q113" s="6"/>
      <c r="R113" s="7"/>
      <c r="S113" s="6"/>
      <c r="T113" s="6"/>
      <c r="U113" s="6"/>
      <c r="V113" s="6"/>
    </row>
    <row r="114" spans="1:22" x14ac:dyDescent="0.25">
      <c r="A114" s="6"/>
      <c r="B114" s="6"/>
      <c r="H114" s="6"/>
      <c r="I114" s="6"/>
      <c r="J114" s="7"/>
      <c r="K114" s="6"/>
      <c r="L114" s="6"/>
      <c r="M114" s="7"/>
      <c r="N114" s="7"/>
      <c r="O114" s="6"/>
      <c r="P114" s="6"/>
      <c r="Q114" s="6"/>
      <c r="R114" s="7"/>
      <c r="S114" s="6"/>
      <c r="T114" s="6"/>
      <c r="U114" s="6"/>
      <c r="V114" s="6"/>
    </row>
    <row r="115" spans="1:22" x14ac:dyDescent="0.25">
      <c r="A115" s="6"/>
      <c r="B115" s="6"/>
      <c r="H115" s="6"/>
      <c r="I115" s="6"/>
      <c r="J115" s="7"/>
      <c r="K115" s="6"/>
      <c r="L115" s="6"/>
      <c r="M115" s="7"/>
      <c r="N115" s="7"/>
      <c r="O115" s="6"/>
      <c r="P115" s="6"/>
      <c r="Q115" s="6"/>
      <c r="R115" s="7"/>
      <c r="S115" s="6"/>
      <c r="T115" s="6"/>
      <c r="U115" s="6"/>
      <c r="V115" s="6"/>
    </row>
    <row r="116" spans="1:22" x14ac:dyDescent="0.25">
      <c r="A116" s="6"/>
      <c r="B116" s="6"/>
      <c r="H116" s="6"/>
      <c r="I116" s="6"/>
      <c r="J116" s="7"/>
      <c r="K116" s="6"/>
      <c r="L116" s="6"/>
      <c r="M116" s="7"/>
      <c r="N116" s="7"/>
      <c r="O116" s="6"/>
      <c r="P116" s="6"/>
      <c r="Q116" s="6"/>
      <c r="R116" s="7"/>
      <c r="S116" s="6"/>
      <c r="T116" s="6"/>
      <c r="U116" s="6"/>
      <c r="V116" s="6"/>
    </row>
    <row r="117" spans="1:22" x14ac:dyDescent="0.25">
      <c r="A117" s="6"/>
      <c r="B117" s="6"/>
      <c r="H117" s="6"/>
      <c r="I117" s="6"/>
      <c r="J117" s="7"/>
      <c r="K117" s="6"/>
      <c r="L117" s="6"/>
      <c r="M117" s="7"/>
      <c r="N117" s="7"/>
      <c r="O117" s="6"/>
      <c r="P117" s="6"/>
      <c r="Q117" s="6"/>
      <c r="R117" s="7"/>
      <c r="S117" s="6"/>
      <c r="T117" s="6"/>
      <c r="U117" s="6"/>
      <c r="V117" s="6"/>
    </row>
    <row r="118" spans="1:22" x14ac:dyDescent="0.25">
      <c r="A118" s="6"/>
      <c r="B118" s="6"/>
      <c r="H118" s="6"/>
      <c r="I118" s="6"/>
      <c r="J118" s="7"/>
      <c r="K118" s="6"/>
      <c r="L118" s="6"/>
      <c r="M118" s="7"/>
      <c r="N118" s="7"/>
      <c r="O118" s="6"/>
      <c r="P118" s="6"/>
      <c r="Q118" s="6"/>
      <c r="R118" s="7"/>
      <c r="S118" s="6"/>
      <c r="T118" s="6"/>
      <c r="U118" s="6"/>
      <c r="V118" s="6"/>
    </row>
    <row r="119" spans="1:22" x14ac:dyDescent="0.25">
      <c r="A119" s="6"/>
      <c r="B119" s="6"/>
      <c r="H119" s="6"/>
      <c r="I119" s="6"/>
      <c r="J119" s="7"/>
      <c r="K119" s="6"/>
      <c r="L119" s="6"/>
      <c r="M119" s="7"/>
      <c r="N119" s="7"/>
      <c r="O119" s="6"/>
      <c r="P119" s="6"/>
      <c r="Q119" s="6"/>
      <c r="R119" s="7"/>
      <c r="S119" s="6"/>
      <c r="T119" s="6"/>
      <c r="U119" s="6"/>
      <c r="V119" s="6"/>
    </row>
    <row r="120" spans="1:22" x14ac:dyDescent="0.25">
      <c r="A120" s="6"/>
      <c r="B120" s="6"/>
      <c r="H120" s="6"/>
      <c r="I120" s="6"/>
      <c r="J120" s="7"/>
      <c r="K120" s="6"/>
      <c r="L120" s="6"/>
      <c r="M120" s="7"/>
      <c r="N120" s="7"/>
      <c r="O120" s="6"/>
      <c r="P120" s="6"/>
      <c r="Q120" s="6"/>
      <c r="R120" s="7"/>
      <c r="S120" s="6"/>
      <c r="T120" s="6"/>
      <c r="U120" s="6"/>
      <c r="V120" s="6"/>
    </row>
    <row r="121" spans="1:22" x14ac:dyDescent="0.25">
      <c r="A121" s="6"/>
      <c r="B121" s="6"/>
      <c r="H121" s="6"/>
      <c r="I121" s="6"/>
      <c r="J121" s="7"/>
      <c r="K121" s="6"/>
      <c r="L121" s="6"/>
      <c r="M121" s="7"/>
      <c r="N121" s="7"/>
      <c r="O121" s="6"/>
      <c r="P121" s="6"/>
      <c r="Q121" s="6"/>
      <c r="R121" s="7"/>
      <c r="S121" s="6"/>
      <c r="T121" s="6"/>
      <c r="U121" s="6"/>
      <c r="V121" s="6"/>
    </row>
    <row r="122" spans="1:22" x14ac:dyDescent="0.25">
      <c r="A122" s="6"/>
      <c r="B122" s="6"/>
      <c r="H122" s="6"/>
      <c r="I122" s="6"/>
      <c r="J122" s="7"/>
      <c r="K122" s="6"/>
      <c r="L122" s="6"/>
      <c r="M122" s="7"/>
      <c r="N122" s="7"/>
      <c r="O122" s="6"/>
      <c r="P122" s="6"/>
      <c r="Q122" s="6"/>
      <c r="R122" s="7"/>
      <c r="S122" s="6"/>
      <c r="T122" s="6"/>
      <c r="U122" s="6"/>
      <c r="V122" s="6"/>
    </row>
    <row r="123" spans="1:22" x14ac:dyDescent="0.25">
      <c r="A123" s="6"/>
      <c r="B123" s="6"/>
      <c r="H123" s="6"/>
      <c r="I123" s="6"/>
      <c r="J123" s="7"/>
      <c r="K123" s="6"/>
      <c r="L123" s="6"/>
      <c r="M123" s="7"/>
      <c r="N123" s="7"/>
      <c r="O123" s="6"/>
      <c r="P123" s="6"/>
      <c r="Q123" s="6"/>
      <c r="R123" s="7"/>
      <c r="S123" s="6"/>
      <c r="T123" s="6"/>
      <c r="U123" s="6"/>
      <c r="V123" s="6"/>
    </row>
    <row r="124" spans="1:22" x14ac:dyDescent="0.25">
      <c r="A124" s="6"/>
      <c r="B124" s="6"/>
      <c r="H124" s="6"/>
      <c r="I124" s="6"/>
      <c r="J124" s="7"/>
      <c r="K124" s="6"/>
      <c r="L124" s="6"/>
      <c r="M124" s="7"/>
      <c r="N124" s="7"/>
      <c r="O124" s="6"/>
      <c r="P124" s="6"/>
      <c r="Q124" s="6"/>
      <c r="R124" s="7"/>
      <c r="S124" s="6"/>
      <c r="T124" s="6"/>
      <c r="U124" s="6"/>
      <c r="V124" s="6"/>
    </row>
    <row r="125" spans="1:22" x14ac:dyDescent="0.25">
      <c r="A125" s="6"/>
      <c r="B125" s="6"/>
      <c r="H125" s="6"/>
      <c r="I125" s="6"/>
      <c r="J125" s="7"/>
      <c r="K125" s="6"/>
      <c r="L125" s="6"/>
      <c r="M125" s="7"/>
      <c r="N125" s="7"/>
      <c r="O125" s="6"/>
      <c r="P125" s="6"/>
      <c r="Q125" s="6"/>
      <c r="R125" s="7"/>
      <c r="S125" s="6"/>
      <c r="T125" s="6"/>
      <c r="U125" s="6"/>
      <c r="V125" s="6"/>
    </row>
    <row r="126" spans="1:22" x14ac:dyDescent="0.25">
      <c r="A126" s="6"/>
      <c r="B126" s="6"/>
      <c r="H126" s="6"/>
      <c r="I126" s="6"/>
      <c r="J126" s="7"/>
      <c r="K126" s="6"/>
      <c r="L126" s="6"/>
      <c r="M126" s="7"/>
      <c r="N126" s="7"/>
      <c r="O126" s="6"/>
      <c r="P126" s="6"/>
      <c r="Q126" s="6"/>
      <c r="R126" s="7"/>
      <c r="S126" s="6"/>
      <c r="T126" s="6"/>
      <c r="U126" s="6"/>
      <c r="V126" s="6"/>
    </row>
    <row r="127" spans="1:22" x14ac:dyDescent="0.25">
      <c r="A127" s="6"/>
      <c r="B127" s="6"/>
      <c r="H127" s="6"/>
      <c r="I127" s="6"/>
      <c r="J127" s="7"/>
      <c r="K127" s="6"/>
      <c r="L127" s="6"/>
      <c r="M127" s="7"/>
      <c r="N127" s="7"/>
      <c r="O127" s="6"/>
      <c r="P127" s="6"/>
      <c r="Q127" s="6"/>
      <c r="R127" s="7"/>
      <c r="S127" s="6"/>
      <c r="T127" s="6"/>
      <c r="U127" s="6"/>
      <c r="V127" s="6"/>
    </row>
  </sheetData>
  <conditionalFormatting sqref="S2:S100">
    <cfRule type="containsText" dxfId="8" priority="1" operator="containsText" text="Hoch">
      <formula>NOT(ISERROR(SEARCH("Hoch",S2)))</formula>
    </cfRule>
  </conditionalFormatting>
  <conditionalFormatting sqref="S2:S100">
    <cfRule type="containsText" dxfId="7" priority="2" operator="containsText" text="Normal">
      <formula>NOT(ISERROR(SEARCH("Normal",S2)))</formula>
    </cfRule>
  </conditionalFormatting>
  <conditionalFormatting sqref="S2:S100">
    <cfRule type="containsText" dxfId="6" priority="3" operator="containsText" text="Niedrig">
      <formula>NOT(ISERROR(SEARCH("Niedrig",S2)))</formula>
    </cfRule>
  </conditionalFormatting>
  <conditionalFormatting sqref="L2:L100">
    <cfRule type="containsText" dxfId="5" priority="4" operator="containsText" text="eingeladen">
      <formula>NOT(ISERROR(SEARCH("eingeladen",L2)))</formula>
    </cfRule>
  </conditionalFormatting>
  <conditionalFormatting sqref="L2:L100">
    <cfRule type="containsText" dxfId="4" priority="5" operator="containsText" text="ausstehend">
      <formula>NOT(ISERROR(SEARCH("ausstehend",L2)))</formula>
    </cfRule>
  </conditionalFormatting>
  <conditionalFormatting sqref="L2:L100">
    <cfRule type="containsText" dxfId="3" priority="6" operator="containsText" text="versendet">
      <formula>NOT(ISERROR(SEARCH("versendet",L2)))</formula>
    </cfRule>
  </conditionalFormatting>
  <conditionalFormatting sqref="V2:V100">
    <cfRule type="containsText" dxfId="2" priority="7" operator="containsText" text="ja">
      <formula>NOT(ISERROR(SEARCH("ja",V2)))</formula>
    </cfRule>
  </conditionalFormatting>
  <pageMargins left="0.75" right="0.75" top="1" bottom="1" header="0.5" footer="0.5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E49A88C-470A-4D7C-996A-A4A9CE59FDDD}">
          <x14:formula1>
            <xm:f>Hilfstabellen!$A$2:$A$6</xm:f>
          </x14:formula1>
          <xm:sqref>K2:K100</xm:sqref>
        </x14:dataValidation>
        <x14:dataValidation type="list" allowBlank="1" showInputMessage="1" showErrorMessage="1" xr:uid="{1A3F0B64-C613-48E8-B384-A41476D6D686}">
          <x14:formula1>
            <xm:f>Hilfstabellen!$C$2:$C$7</xm:f>
          </x14:formula1>
          <xm:sqref>I2:I100</xm:sqref>
        </x14:dataValidation>
        <x14:dataValidation type="list" allowBlank="1" showInputMessage="1" showErrorMessage="1" xr:uid="{00FFE83D-63D9-45C0-AA16-ED59954D55FC}">
          <x14:formula1>
            <xm:f>Hilfstabellen!$E$2:$E$8</xm:f>
          </x14:formula1>
          <xm:sqref>L2:L100</xm:sqref>
        </x14:dataValidation>
        <x14:dataValidation type="list" allowBlank="1" showInputMessage="1" showErrorMessage="1" xr:uid="{C1495849-1A25-462E-8570-FC5A8A4F6C1F}">
          <x14:formula1>
            <xm:f>Hilfstabellen!$G$2:$G$5</xm:f>
          </x14:formula1>
          <xm:sqref>O2:O100</xm:sqref>
        </x14:dataValidation>
        <x14:dataValidation type="list" allowBlank="1" showInputMessage="1" showErrorMessage="1" xr:uid="{4D5FD761-EA39-4B08-80F2-7D1BDB371299}">
          <x14:formula1>
            <xm:f>Hilfstabellen!$I$2:$I$4</xm:f>
          </x14:formula1>
          <xm:sqref>S2:S100</xm:sqref>
        </x14:dataValidation>
        <x14:dataValidation type="list" allowBlank="1" showInputMessage="1" showErrorMessage="1" xr:uid="{F8F39763-C77D-4141-9BDB-8EEC8BF587BF}">
          <x14:formula1>
            <xm:f>Hilfstabellen!$K$2:$K$5</xm:f>
          </x14:formula1>
          <xm:sqref>T2:T100</xm:sqref>
        </x14:dataValidation>
        <x14:dataValidation type="list" allowBlank="1" showInputMessage="1" showErrorMessage="1" xr:uid="{C067B7DF-0198-4918-8992-988B48BB9C52}">
          <x14:formula1>
            <xm:f>Hilfstabellen!$M$2:$M$10</xm:f>
          </x14:formula1>
          <xm:sqref>H2:H100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B68C1-DEDB-40FC-9113-5F02FAAFB195}">
  <sheetPr codeName="Tabelle5"/>
  <dimension ref="A1:P21"/>
  <sheetViews>
    <sheetView workbookViewId="0">
      <selection activeCell="E17" sqref="E17:E19"/>
    </sheetView>
  </sheetViews>
  <sheetFormatPr baseColWidth="10" defaultRowHeight="15" x14ac:dyDescent="0.25"/>
  <cols>
    <col min="1" max="1" width="28.5703125" style="3" customWidth="1"/>
    <col min="2" max="2" width="11.42578125" style="3"/>
    <col min="3" max="3" width="24.7109375" style="3" customWidth="1"/>
    <col min="4" max="4" width="11.42578125" style="3"/>
    <col min="5" max="5" width="28.5703125" style="3" customWidth="1"/>
    <col min="6" max="6" width="11.42578125" style="3"/>
    <col min="7" max="7" width="28.5703125" style="3" customWidth="1"/>
    <col min="8" max="8" width="11.42578125" style="3"/>
    <col min="9" max="9" width="15.28515625" style="3" customWidth="1"/>
    <col min="10" max="10" width="11.42578125" style="3"/>
    <col min="11" max="11" width="24.7109375" style="3" customWidth="1"/>
    <col min="12" max="12" width="11.42578125" style="3"/>
    <col min="13" max="13" width="24.7109375" style="3" customWidth="1"/>
    <col min="14" max="16384" width="11.42578125" style="3"/>
  </cols>
  <sheetData>
    <row r="1" spans="1:16" x14ac:dyDescent="0.25">
      <c r="A1" s="42" t="s">
        <v>7</v>
      </c>
      <c r="B1" s="42"/>
      <c r="C1" s="42" t="s">
        <v>6</v>
      </c>
      <c r="D1" s="42"/>
      <c r="E1" s="42" t="s">
        <v>8</v>
      </c>
      <c r="F1" s="42"/>
      <c r="G1" s="42" t="s">
        <v>11</v>
      </c>
      <c r="H1" s="42"/>
      <c r="I1" s="42" t="s">
        <v>15</v>
      </c>
      <c r="J1" s="42"/>
      <c r="K1" s="42" t="s">
        <v>16</v>
      </c>
      <c r="L1" s="42"/>
      <c r="M1" s="42" t="s">
        <v>5</v>
      </c>
      <c r="N1"/>
      <c r="O1"/>
      <c r="P1"/>
    </row>
    <row r="2" spans="1:16" x14ac:dyDescent="0.25">
      <c r="A2" t="s">
        <v>43</v>
      </c>
      <c r="B2"/>
      <c r="C2" t="s">
        <v>35</v>
      </c>
      <c r="D2"/>
      <c r="E2" s="31" t="s">
        <v>51</v>
      </c>
      <c r="F2"/>
      <c r="G2" t="s">
        <v>25</v>
      </c>
      <c r="H2"/>
      <c r="I2" s="43" t="s">
        <v>30</v>
      </c>
      <c r="J2"/>
      <c r="K2" s="41" t="s">
        <v>65</v>
      </c>
      <c r="L2"/>
      <c r="M2" t="s">
        <v>34</v>
      </c>
      <c r="N2"/>
      <c r="O2"/>
      <c r="P2"/>
    </row>
    <row r="3" spans="1:16" x14ac:dyDescent="0.25">
      <c r="A3" t="s">
        <v>26</v>
      </c>
      <c r="B3"/>
      <c r="C3" t="s">
        <v>25</v>
      </c>
      <c r="D3"/>
      <c r="E3" s="31" t="s">
        <v>27</v>
      </c>
      <c r="F3"/>
      <c r="G3" t="s">
        <v>52</v>
      </c>
      <c r="H3"/>
      <c r="I3" s="31" t="s">
        <v>39</v>
      </c>
      <c r="J3"/>
      <c r="K3" s="32" t="s">
        <v>66</v>
      </c>
      <c r="L3"/>
      <c r="M3" t="s">
        <v>69</v>
      </c>
      <c r="N3"/>
      <c r="O3"/>
      <c r="P3"/>
    </row>
    <row r="4" spans="1:16" x14ac:dyDescent="0.25">
      <c r="A4" t="s">
        <v>36</v>
      </c>
      <c r="B4"/>
      <c r="C4" t="s">
        <v>47</v>
      </c>
      <c r="D4"/>
      <c r="E4" s="28" t="s">
        <v>37</v>
      </c>
      <c r="F4"/>
      <c r="G4" t="s">
        <v>53</v>
      </c>
      <c r="H4"/>
      <c r="I4" s="44" t="s">
        <v>45</v>
      </c>
      <c r="J4"/>
      <c r="K4" s="29" t="s">
        <v>67</v>
      </c>
      <c r="L4"/>
      <c r="M4" t="s">
        <v>70</v>
      </c>
      <c r="N4"/>
      <c r="O4"/>
      <c r="P4"/>
    </row>
    <row r="5" spans="1:16" x14ac:dyDescent="0.25">
      <c r="A5" t="s">
        <v>59</v>
      </c>
      <c r="B5"/>
      <c r="C5" t="s">
        <v>48</v>
      </c>
      <c r="D5"/>
      <c r="E5" s="32" t="s">
        <v>63</v>
      </c>
      <c r="F5"/>
      <c r="G5" t="s">
        <v>64</v>
      </c>
      <c r="H5"/>
      <c r="I5"/>
      <c r="J5"/>
      <c r="K5" s="44" t="s">
        <v>68</v>
      </c>
      <c r="L5"/>
      <c r="M5" t="s">
        <v>71</v>
      </c>
      <c r="N5"/>
      <c r="O5"/>
      <c r="P5"/>
    </row>
    <row r="6" spans="1:16" x14ac:dyDescent="0.25">
      <c r="A6" t="s">
        <v>60</v>
      </c>
      <c r="B6"/>
      <c r="C6" t="s">
        <v>61</v>
      </c>
      <c r="D6"/>
      <c r="E6" s="30" t="s">
        <v>50</v>
      </c>
      <c r="F6"/>
      <c r="G6"/>
      <c r="H6"/>
      <c r="I6"/>
      <c r="J6"/>
      <c r="K6"/>
      <c r="L6"/>
      <c r="M6" t="s">
        <v>24</v>
      </c>
      <c r="N6"/>
      <c r="O6"/>
      <c r="P6"/>
    </row>
    <row r="7" spans="1:16" x14ac:dyDescent="0.25">
      <c r="A7"/>
      <c r="B7"/>
      <c r="C7" t="s">
        <v>62</v>
      </c>
      <c r="D7"/>
      <c r="E7" s="29" t="s">
        <v>44</v>
      </c>
      <c r="F7"/>
      <c r="G7"/>
      <c r="H7"/>
      <c r="I7"/>
      <c r="J7"/>
      <c r="K7"/>
      <c r="L7"/>
      <c r="M7" t="s">
        <v>72</v>
      </c>
      <c r="N7"/>
      <c r="O7"/>
      <c r="P7"/>
    </row>
    <row r="8" spans="1:16" x14ac:dyDescent="0.25">
      <c r="A8"/>
      <c r="B8"/>
      <c r="C8"/>
      <c r="D8"/>
      <c r="E8" s="41" t="s">
        <v>46</v>
      </c>
      <c r="F8"/>
      <c r="G8"/>
      <c r="H8"/>
      <c r="I8"/>
      <c r="J8"/>
      <c r="K8"/>
      <c r="L8"/>
      <c r="M8" t="s">
        <v>73</v>
      </c>
      <c r="N8"/>
      <c r="O8"/>
      <c r="P8"/>
    </row>
    <row r="9" spans="1:16" x14ac:dyDescent="0.25">
      <c r="A9"/>
      <c r="B9"/>
      <c r="C9"/>
      <c r="D9"/>
      <c r="E9"/>
      <c r="F9"/>
      <c r="G9"/>
      <c r="H9"/>
      <c r="I9"/>
      <c r="J9"/>
      <c r="K9"/>
      <c r="L9"/>
      <c r="M9" t="s">
        <v>74</v>
      </c>
      <c r="N9"/>
      <c r="O9"/>
      <c r="P9"/>
    </row>
    <row r="10" spans="1:16" x14ac:dyDescent="0.25">
      <c r="A10"/>
      <c r="B10"/>
      <c r="C10"/>
      <c r="D10"/>
      <c r="E10"/>
      <c r="F10"/>
      <c r="G10"/>
      <c r="H10"/>
      <c r="I10"/>
      <c r="J10"/>
      <c r="K10"/>
      <c r="L10"/>
      <c r="M10" t="s">
        <v>61</v>
      </c>
      <c r="N10"/>
      <c r="O10"/>
      <c r="P10"/>
    </row>
    <row r="11" spans="1:16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6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6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6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6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6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5:5" customFormat="1" x14ac:dyDescent="0.25">
      <c r="E17" t="s">
        <v>51</v>
      </c>
    </row>
    <row r="18" spans="5:5" customFormat="1" x14ac:dyDescent="0.25">
      <c r="E18" t="s">
        <v>27</v>
      </c>
    </row>
    <row r="19" spans="5:5" customFormat="1" x14ac:dyDescent="0.25">
      <c r="E19" t="s">
        <v>50</v>
      </c>
    </row>
    <row r="20" spans="5:5" customFormat="1" x14ac:dyDescent="0.25"/>
    <row r="21" spans="5:5" customFormat="1" x14ac:dyDescent="0.25"/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Erläuterungen</vt:lpstr>
      <vt:lpstr>Bewerbungsübersicht</vt:lpstr>
      <vt:lpstr>Heute erledigen</vt:lpstr>
      <vt:lpstr>Diese Woche erledigen</vt:lpstr>
      <vt:lpstr>Hilfstabellen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Gorontzy</dc:creator>
  <cp:keywords/>
  <dc:description/>
  <cp:lastModifiedBy>Tom Gorontzy</cp:lastModifiedBy>
  <cp:revision/>
  <dcterms:created xsi:type="dcterms:W3CDTF">2026-04-29T08:18:25Z</dcterms:created>
  <dcterms:modified xsi:type="dcterms:W3CDTF">2026-06-13T08:07:36Z</dcterms:modified>
  <cp:category/>
  <cp:contentStatus/>
</cp:coreProperties>
</file>